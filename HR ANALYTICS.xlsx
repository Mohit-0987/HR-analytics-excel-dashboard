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M:\UPSKILLING\DATA ANALYTICS\EXCEL\PROJECTS\HR ANALYTICS\"/>
    </mc:Choice>
  </mc:AlternateContent>
  <xr:revisionPtr revIDLastSave="0" documentId="13_ncr:1_{64F3D28B-0C02-42CD-9D0E-A29D892234E8}" xr6:coauthVersionLast="47" xr6:coauthVersionMax="47" xr10:uidLastSave="{00000000-0000-0000-0000-000000000000}"/>
  <bookViews>
    <workbookView xWindow="-108" yWindow="-108" windowWidth="23256" windowHeight="12456" activeTab="2" xr2:uid="{4B7644E1-DA7D-46B2-9CCF-92AE7C5452B9}"/>
  </bookViews>
  <sheets>
    <sheet name="WA_Fn-UseC_-HR-Employee-Attriti" sheetId="1" r:id="rId1"/>
    <sheet name="Analysis" sheetId="3" r:id="rId2"/>
    <sheet name="DashBoard" sheetId="5" r:id="rId3"/>
  </sheets>
  <definedNames>
    <definedName name="Slicer_Department">#N/A</definedName>
    <definedName name="Slicer_Gender">#N/A</definedName>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K2" i="1" l="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alcChain>
</file>

<file path=xl/sharedStrings.xml><?xml version="1.0" encoding="utf-8"?>
<sst xmlns="http://schemas.openxmlformats.org/spreadsheetml/2006/main" count="13302" uniqueCount="84">
  <si>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</si>
  <si>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</si>
  <si>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</si>
  <si>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</si>
  <si>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</si>
  <si>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</si>
  <si>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</si>
  <si>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</si>
  <si>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</si>
  <si>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</si>
  <si>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</si>
  <si>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</si>
  <si>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</si>
  <si>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</si>
  <si>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</si>
  <si>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</si>
  <si>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</si>
  <si>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</si>
  <si>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</si>
  <si>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</si>
  <si>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</si>
  <si>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</si>
  <si>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</si>
  <si>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</si>
  <si>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</si>
  <si>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</si>
  <si>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</si>
  <si>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</si>
  <si>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</si>
  <si>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</si>
  <si>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</si>
  <si>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</si>
  <si>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</si>
  <si>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</si>
  <si>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</si>
  <si>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</si>
  <si>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</si>
  <si>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</si>
  <si>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</si>
  <si>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</si>
  <si>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</si>
  <si>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</si>
  <si>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</si>
  <si>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</si>
  <si>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</si>
  <si>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</si>
  <si>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</si>
  <si>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</si>
  <si>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</si>
  <si>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</si>
  <si>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</si>
  <si>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</si>
  <si>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</si>
  <si>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</si>
  <si>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</si>
  <si>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</si>
  <si>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</si>
  <si>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</si>
  <si>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</si>
  <si>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</si>
  <si>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</si>
  <si>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</si>
  <si>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 Numeric</t>
  </si>
  <si>
    <t>Age Group</t>
  </si>
  <si>
    <t>Tenure Group</t>
  </si>
  <si>
    <t>Row Labels</t>
  </si>
  <si>
    <t>Grand Total</t>
  </si>
  <si>
    <t>18-25</t>
  </si>
  <si>
    <t>26-35</t>
  </si>
  <si>
    <t>36-45</t>
  </si>
  <si>
    <t>45+</t>
  </si>
  <si>
    <t>Attrition by Department</t>
  </si>
  <si>
    <t>Attrition by Age Group</t>
  </si>
  <si>
    <t>Attrition by Job Satisfaction</t>
  </si>
  <si>
    <t>Attrition by Gender</t>
  </si>
  <si>
    <t>Avg Salary by Attrition</t>
  </si>
  <si>
    <t>Early Stage</t>
  </si>
  <si>
    <t>Long Term Employees</t>
  </si>
  <si>
    <t>Mid Tenure</t>
  </si>
  <si>
    <t>New Employees</t>
  </si>
  <si>
    <t>HR ANALYTICS DASHBOARD</t>
  </si>
  <si>
    <t>Attrition by Tenure</t>
  </si>
  <si>
    <t>BY MOHIT KUMAR PANIGRAHI</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</si>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</sst>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Arial Black"/>
      <family val="2"/>
    </font>
    <font>
      <sz val="14"/>
      <color theme="1"/>
      <name val="Arial Black"/>
      <family val="2"/>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20" fillId="34" borderId="0" xfId="0" applyFont="1" applyFill="1" applyAlignment="1">
      <alignment horizontal="center"/>
    </xf>
    <xf numFmtId="0" fontId="18" fillId="33" borderId="0" xfId="0" applyFont="1" applyFill="1" applyAlignment="1">
      <alignment horizontal="center" vertical="center"/>
    </xf>
    <xf numFmtId="0" fontId="0" fillId="33" borderId="0" xfId="0" applyFill="1" applyAlignment="1">
      <alignment horizont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ANALYTICS.xlsx]Analysis!PivotTable9</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Analysis!$B$6:$B$9</c:f>
              <c:strCache>
                <c:ptCount val="3"/>
                <c:pt idx="0">
                  <c:v>Human Resources</c:v>
                </c:pt>
                <c:pt idx="1">
                  <c:v>Research &amp; Development</c:v>
                </c:pt>
                <c:pt idx="2">
                  <c:v>Sales</c:v>
                </c:pt>
              </c:strCache>
            </c:strRef>
          </c:cat>
          <c:val>
            <c:numRef>
              <c:f>Analysis!$C$6:$C$9</c:f>
              <c:numCache>
                <c:formatCode>General</c:formatCode>
                <c:ptCount val="3"/>
                <c:pt idx="0">
                  <c:v>12</c:v>
                </c:pt>
                <c:pt idx="1">
                  <c:v>133</c:v>
                </c:pt>
                <c:pt idx="2">
                  <c:v>92</c:v>
                </c:pt>
              </c:numCache>
            </c:numRef>
          </c:val>
          <c:extLst>
            <c:ext xmlns:c16="http://schemas.microsoft.com/office/drawing/2014/chart" uri="{C3380CC4-5D6E-409C-BE32-E72D297353CC}">
              <c16:uniqueId val="{00000000-D095-4550-BD20-10B16488DA5F}"/>
            </c:ext>
          </c:extLst>
        </c:ser>
        <c:dLbls>
          <c:showLegendKey val="0"/>
          <c:showVal val="0"/>
          <c:showCatName val="0"/>
          <c:showSerName val="0"/>
          <c:showPercent val="0"/>
          <c:showBubbleSize val="0"/>
        </c:dLbls>
        <c:gapWidth val="115"/>
        <c:overlap val="-20"/>
        <c:axId val="1924561567"/>
        <c:axId val="1924573087"/>
      </c:barChart>
      <c:catAx>
        <c:axId val="19245615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573087"/>
        <c:crosses val="autoZero"/>
        <c:auto val="1"/>
        <c:lblAlgn val="ctr"/>
        <c:lblOffset val="100"/>
        <c:noMultiLvlLbl val="0"/>
      </c:catAx>
      <c:valAx>
        <c:axId val="1924573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56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ANALYTICS.xlsx]Analysis!PivotTable11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Job Satisfaction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Analysis!$C$13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Analysis!$B$14:$B$18</c:f>
              <c:strCache>
                <c:ptCount val="4"/>
                <c:pt idx="0">
                  <c:v>1</c:v>
                </c:pt>
                <c:pt idx="1">
                  <c:v>2</c:v>
                </c:pt>
                <c:pt idx="2">
                  <c:v>3</c:v>
                </c:pt>
                <c:pt idx="3">
                  <c:v>4</c:v>
                </c:pt>
              </c:strCache>
            </c:strRef>
          </c:cat>
          <c:val>
            <c:numRef>
              <c:f>Analysis!$C$14:$C$18</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0-CA6A-4E39-9967-BED0EA1E5F47}"/>
            </c:ext>
          </c:extLst>
        </c:ser>
        <c:dLbls>
          <c:showLegendKey val="0"/>
          <c:showVal val="0"/>
          <c:showCatName val="0"/>
          <c:showSerName val="0"/>
          <c:showPercent val="0"/>
          <c:showBubbleSize val="0"/>
        </c:dLbls>
        <c:gapWidth val="150"/>
        <c:overlap val="100"/>
        <c:axId val="1924605727"/>
        <c:axId val="1924592767"/>
      </c:barChart>
      <c:catAx>
        <c:axId val="19246057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592767"/>
        <c:crosses val="autoZero"/>
        <c:auto val="1"/>
        <c:lblAlgn val="ctr"/>
        <c:lblOffset val="100"/>
        <c:noMultiLvlLbl val="0"/>
      </c:catAx>
      <c:valAx>
        <c:axId val="1924592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0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ANALYTICS.xlsx]Analysis!PivotTable10</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Analysis!$E$6:$E$10</c:f>
              <c:strCache>
                <c:ptCount val="4"/>
                <c:pt idx="0">
                  <c:v>18-25</c:v>
                </c:pt>
                <c:pt idx="1">
                  <c:v>26-35</c:v>
                </c:pt>
                <c:pt idx="2">
                  <c:v>36-45</c:v>
                </c:pt>
                <c:pt idx="3">
                  <c:v>45+</c:v>
                </c:pt>
              </c:strCache>
            </c:strRef>
          </c:cat>
          <c:val>
            <c:numRef>
              <c:f>Analysis!$F$6:$F$10</c:f>
              <c:numCache>
                <c:formatCode>General</c:formatCode>
                <c:ptCount val="4"/>
                <c:pt idx="0">
                  <c:v>44</c:v>
                </c:pt>
                <c:pt idx="1">
                  <c:v>116</c:v>
                </c:pt>
                <c:pt idx="2">
                  <c:v>43</c:v>
                </c:pt>
                <c:pt idx="3">
                  <c:v>34</c:v>
                </c:pt>
              </c:numCache>
            </c:numRef>
          </c:val>
          <c:extLst>
            <c:ext xmlns:c16="http://schemas.microsoft.com/office/drawing/2014/chart" uri="{C3380CC4-5D6E-409C-BE32-E72D297353CC}">
              <c16:uniqueId val="{00000000-FCD5-4740-AFDA-75B783C231D8}"/>
            </c:ext>
          </c:extLst>
        </c:ser>
        <c:dLbls>
          <c:showLegendKey val="0"/>
          <c:showVal val="0"/>
          <c:showCatName val="0"/>
          <c:showSerName val="0"/>
          <c:showPercent val="0"/>
          <c:showBubbleSize val="0"/>
        </c:dLbls>
        <c:gapWidth val="100"/>
        <c:overlap val="-24"/>
        <c:axId val="1924589407"/>
        <c:axId val="1924606207"/>
      </c:barChart>
      <c:catAx>
        <c:axId val="19245894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06207"/>
        <c:crosses val="autoZero"/>
        <c:auto val="1"/>
        <c:lblAlgn val="ctr"/>
        <c:lblOffset val="100"/>
        <c:noMultiLvlLbl val="0"/>
      </c:catAx>
      <c:valAx>
        <c:axId val="192460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58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ANALYTICS.xlsx]Analysis!PivotTable12</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Analysis!$F$13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C8E-417D-8ED5-54F618B3947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C8E-417D-8ED5-54F618B394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Analysis!$E$14:$E$16</c:f>
              <c:strCache>
                <c:ptCount val="2"/>
                <c:pt idx="0">
                  <c:v>Female</c:v>
                </c:pt>
                <c:pt idx="1">
                  <c:v>Male</c:v>
                </c:pt>
              </c:strCache>
            </c:strRef>
          </c:cat>
          <c:val>
            <c:numRef>
              <c:f>Analysis!$F$14:$F$16</c:f>
              <c:numCache>
                <c:formatCode>General</c:formatCode>
                <c:ptCount val="2"/>
                <c:pt idx="0">
                  <c:v>87</c:v>
                </c:pt>
                <c:pt idx="1">
                  <c:v>150</c:v>
                </c:pt>
              </c:numCache>
            </c:numRef>
          </c:val>
          <c:extLst>
            <c:ext xmlns:c16="http://schemas.microsoft.com/office/drawing/2014/chart" uri="{C3380CC4-5D6E-409C-BE32-E72D297353CC}">
              <c16:uniqueId val="{00000004-CC8E-417D-8ED5-54F618B3947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ANALYTICS.xlsx]Analysis!PivotTable13</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Salary by Attrition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Analysis!$B$22:$B$24</c:f>
              <c:strCache>
                <c:ptCount val="2"/>
                <c:pt idx="0">
                  <c:v>0</c:v>
                </c:pt>
                <c:pt idx="1">
                  <c:v>1</c:v>
                </c:pt>
              </c:strCache>
            </c:strRef>
          </c:cat>
          <c:val>
            <c:numRef>
              <c:f>Analysis!$C$22:$C$24</c:f>
              <c:numCache>
                <c:formatCode>General</c:formatCode>
                <c:ptCount val="2"/>
                <c:pt idx="0">
                  <c:v>6832.7396593673966</c:v>
                </c:pt>
                <c:pt idx="1">
                  <c:v>4787.0928270042195</c:v>
                </c:pt>
              </c:numCache>
            </c:numRef>
          </c:val>
          <c:extLst>
            <c:ext xmlns:c16="http://schemas.microsoft.com/office/drawing/2014/chart" uri="{C3380CC4-5D6E-409C-BE32-E72D297353CC}">
              <c16:uniqueId val="{00000000-BB23-4E18-AB71-07C2CE83054D}"/>
            </c:ext>
          </c:extLst>
        </c:ser>
        <c:dLbls>
          <c:showLegendKey val="0"/>
          <c:showVal val="0"/>
          <c:showCatName val="0"/>
          <c:showSerName val="0"/>
          <c:showPercent val="0"/>
          <c:showBubbleSize val="0"/>
        </c:dLbls>
        <c:gapWidth val="150"/>
        <c:overlap val="100"/>
        <c:axId val="1924663327"/>
        <c:axId val="1924663807"/>
      </c:barChart>
      <c:catAx>
        <c:axId val="19246633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63807"/>
        <c:crosses val="autoZero"/>
        <c:auto val="1"/>
        <c:lblAlgn val="ctr"/>
        <c:lblOffset val="100"/>
        <c:noMultiLvlLbl val="0"/>
      </c:catAx>
      <c:valAx>
        <c:axId val="192466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6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ANALYTICS.xlsx]Analysis!PivotTable14</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by Tenure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Analysis!$F$21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Analysis!$E$22:$E$26</c:f>
              <c:strCache>
                <c:ptCount val="4"/>
                <c:pt idx="0">
                  <c:v>Early Stage</c:v>
                </c:pt>
                <c:pt idx="1">
                  <c:v>Long Term Employees</c:v>
                </c:pt>
                <c:pt idx="2">
                  <c:v>Mid Tenure</c:v>
                </c:pt>
                <c:pt idx="3">
                  <c:v>New Employees</c:v>
                </c:pt>
              </c:strCache>
            </c:strRef>
          </c:cat>
          <c:val>
            <c:numRef>
              <c:f>Analysis!$F$22:$F$26</c:f>
              <c:numCache>
                <c:formatCode>General</c:formatCode>
                <c:ptCount val="4"/>
                <c:pt idx="0">
                  <c:v>60</c:v>
                </c:pt>
                <c:pt idx="1">
                  <c:v>20</c:v>
                </c:pt>
                <c:pt idx="2">
                  <c:v>55</c:v>
                </c:pt>
                <c:pt idx="3">
                  <c:v>102</c:v>
                </c:pt>
              </c:numCache>
            </c:numRef>
          </c:val>
          <c:extLst>
            <c:ext xmlns:c16="http://schemas.microsoft.com/office/drawing/2014/chart" uri="{C3380CC4-5D6E-409C-BE32-E72D297353CC}">
              <c16:uniqueId val="{00000000-C4AF-447A-9318-85D1E55163DE}"/>
            </c:ext>
          </c:extLst>
        </c:ser>
        <c:dLbls>
          <c:showLegendKey val="0"/>
          <c:showVal val="0"/>
          <c:showCatName val="0"/>
          <c:showSerName val="0"/>
          <c:showPercent val="0"/>
          <c:showBubbleSize val="0"/>
        </c:dLbls>
        <c:gapWidth val="150"/>
        <c:overlap val="100"/>
        <c:axId val="1924670047"/>
        <c:axId val="1924670527"/>
      </c:barChart>
      <c:catAx>
        <c:axId val="1924670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70527"/>
        <c:crosses val="autoZero"/>
        <c:auto val="1"/>
        <c:lblAlgn val="ctr"/>
        <c:lblOffset val="100"/>
        <c:noMultiLvlLbl val="0"/>
      </c:catAx>
      <c:valAx>
        <c:axId val="192467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67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8594</xdr:colOff>
      <xdr:row>6</xdr:row>
      <xdr:rowOff>4044</xdr:rowOff>
    </xdr:from>
    <xdr:to>
      <xdr:col>5</xdr:col>
      <xdr:colOff>601579</xdr:colOff>
      <xdr:row>9</xdr:row>
      <xdr:rowOff>170329</xdr:rowOff>
    </xdr:to>
    <xdr:sp macro="" textlink="">
      <xdr:nvSpPr>
        <xdr:cNvPr id="7" name="Rectangle 6">
          <a:extLst>
            <a:ext uri="{FF2B5EF4-FFF2-40B4-BE49-F238E27FC236}">
              <a16:creationId xmlns:a16="http://schemas.microsoft.com/office/drawing/2014/main" id="{CD4445CE-D09A-0D6B-1783-81387CF7BA43}"/>
            </a:ext>
          </a:extLst>
        </xdr:cNvPr>
        <xdr:cNvSpPr/>
      </xdr:nvSpPr>
      <xdr:spPr>
        <a:xfrm>
          <a:off x="618194" y="183338"/>
          <a:ext cx="1812185" cy="7041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 Employees</a:t>
          </a:r>
        </a:p>
        <a:p>
          <a:pPr algn="ctr"/>
          <a:r>
            <a:rPr lang="en-IN" sz="1600" b="1"/>
            <a:t>1470</a:t>
          </a:r>
        </a:p>
      </xdr:txBody>
    </xdr:sp>
    <xdr:clientData/>
  </xdr:twoCellAnchor>
  <xdr:twoCellAnchor>
    <xdr:from>
      <xdr:col>8</xdr:col>
      <xdr:colOff>8038</xdr:colOff>
      <xdr:row>6</xdr:row>
      <xdr:rowOff>11052</xdr:rowOff>
    </xdr:from>
    <xdr:to>
      <xdr:col>10</xdr:col>
      <xdr:colOff>601023</xdr:colOff>
      <xdr:row>9</xdr:row>
      <xdr:rowOff>180687</xdr:rowOff>
    </xdr:to>
    <xdr:sp macro="" textlink="">
      <xdr:nvSpPr>
        <xdr:cNvPr id="9" name="Rectangle 8">
          <a:extLst>
            <a:ext uri="{FF2B5EF4-FFF2-40B4-BE49-F238E27FC236}">
              <a16:creationId xmlns:a16="http://schemas.microsoft.com/office/drawing/2014/main" id="{C31D7DFF-725F-4AFC-9955-863C55AAC9B3}"/>
            </a:ext>
          </a:extLst>
        </xdr:cNvPr>
        <xdr:cNvSpPr/>
      </xdr:nvSpPr>
      <xdr:spPr>
        <a:xfrm>
          <a:off x="3665638" y="193932"/>
          <a:ext cx="1812185" cy="7182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Total Attrition</a:t>
          </a:r>
        </a:p>
        <a:p>
          <a:pPr algn="ctr"/>
          <a:r>
            <a:rPr lang="en-IN" sz="1600" b="1"/>
            <a:t>237</a:t>
          </a:r>
        </a:p>
      </xdr:txBody>
    </xdr:sp>
    <xdr:clientData/>
  </xdr:twoCellAnchor>
  <xdr:twoCellAnchor>
    <xdr:from>
      <xdr:col>13</xdr:col>
      <xdr:colOff>9798</xdr:colOff>
      <xdr:row>6</xdr:row>
      <xdr:rowOff>10173</xdr:rowOff>
    </xdr:from>
    <xdr:to>
      <xdr:col>15</xdr:col>
      <xdr:colOff>602783</xdr:colOff>
      <xdr:row>9</xdr:row>
      <xdr:rowOff>178682</xdr:rowOff>
    </xdr:to>
    <xdr:sp macro="" textlink="">
      <xdr:nvSpPr>
        <xdr:cNvPr id="10" name="Rectangle 9">
          <a:extLst>
            <a:ext uri="{FF2B5EF4-FFF2-40B4-BE49-F238E27FC236}">
              <a16:creationId xmlns:a16="http://schemas.microsoft.com/office/drawing/2014/main" id="{8B9F5F98-FCBD-497F-BA39-D0BBB8EBA58C}"/>
            </a:ext>
          </a:extLst>
        </xdr:cNvPr>
        <xdr:cNvSpPr/>
      </xdr:nvSpPr>
      <xdr:spPr>
        <a:xfrm>
          <a:off x="6715398" y="194104"/>
          <a:ext cx="1812185" cy="7203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Attrition Rate</a:t>
          </a:r>
        </a:p>
        <a:p>
          <a:pPr algn="ctr"/>
          <a:r>
            <a:rPr lang="en-IN" sz="1600" b="1"/>
            <a:t>16.1%</a:t>
          </a:r>
        </a:p>
      </xdr:txBody>
    </xdr:sp>
    <xdr:clientData/>
  </xdr:twoCellAnchor>
  <xdr:twoCellAnchor>
    <xdr:from>
      <xdr:col>18</xdr:col>
      <xdr:colOff>3754</xdr:colOff>
      <xdr:row>6</xdr:row>
      <xdr:rowOff>13888</xdr:rowOff>
    </xdr:from>
    <xdr:to>
      <xdr:col>20</xdr:col>
      <xdr:colOff>596739</xdr:colOff>
      <xdr:row>9</xdr:row>
      <xdr:rowOff>180220</xdr:rowOff>
    </xdr:to>
    <xdr:sp macro="" textlink="">
      <xdr:nvSpPr>
        <xdr:cNvPr id="11" name="Rectangle 10">
          <a:extLst>
            <a:ext uri="{FF2B5EF4-FFF2-40B4-BE49-F238E27FC236}">
              <a16:creationId xmlns:a16="http://schemas.microsoft.com/office/drawing/2014/main" id="{5338FC2F-2EF6-4BFC-8773-FAC4D8BF8160}"/>
            </a:ext>
          </a:extLst>
        </xdr:cNvPr>
        <xdr:cNvSpPr/>
      </xdr:nvSpPr>
      <xdr:spPr>
        <a:xfrm>
          <a:off x="9757354" y="197819"/>
          <a:ext cx="1812185" cy="718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Avg Salary</a:t>
          </a:r>
        </a:p>
        <a:p>
          <a:pPr algn="ctr"/>
          <a:r>
            <a:rPr lang="en-IN" sz="1600" b="1"/>
            <a:t>6500</a:t>
          </a:r>
        </a:p>
      </xdr:txBody>
    </xdr:sp>
    <xdr:clientData/>
  </xdr:twoCellAnchor>
  <xdr:twoCellAnchor>
    <xdr:from>
      <xdr:col>23</xdr:col>
      <xdr:colOff>4129</xdr:colOff>
      <xdr:row>6</xdr:row>
      <xdr:rowOff>15766</xdr:rowOff>
    </xdr:from>
    <xdr:to>
      <xdr:col>25</xdr:col>
      <xdr:colOff>597114</xdr:colOff>
      <xdr:row>9</xdr:row>
      <xdr:rowOff>183224</xdr:rowOff>
    </xdr:to>
    <xdr:sp macro="" textlink="">
      <xdr:nvSpPr>
        <xdr:cNvPr id="12" name="Rectangle 11">
          <a:extLst>
            <a:ext uri="{FF2B5EF4-FFF2-40B4-BE49-F238E27FC236}">
              <a16:creationId xmlns:a16="http://schemas.microsoft.com/office/drawing/2014/main" id="{BB38ED42-1300-44DA-83A6-F5E5911E29C4}"/>
            </a:ext>
          </a:extLst>
        </xdr:cNvPr>
        <xdr:cNvSpPr/>
      </xdr:nvSpPr>
      <xdr:spPr>
        <a:xfrm>
          <a:off x="12805729" y="199697"/>
          <a:ext cx="1812185" cy="7192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Avg Tenure</a:t>
          </a:r>
        </a:p>
        <a:p>
          <a:pPr algn="ctr"/>
          <a:r>
            <a:rPr lang="en-IN" sz="1600" b="1"/>
            <a:t>7</a:t>
          </a:r>
        </a:p>
      </xdr:txBody>
    </xdr:sp>
    <xdr:clientData/>
  </xdr:twoCellAnchor>
  <xdr:twoCellAnchor editAs="oneCell">
    <xdr:from>
      <xdr:col>27</xdr:col>
      <xdr:colOff>0</xdr:colOff>
      <xdr:row>10</xdr:row>
      <xdr:rowOff>21772</xdr:rowOff>
    </xdr:from>
    <xdr:to>
      <xdr:col>29</xdr:col>
      <xdr:colOff>601980</xdr:colOff>
      <xdr:row>17</xdr:row>
      <xdr:rowOff>15240</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5F501343-1526-4EEC-B320-A9A594E02CC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459200" y="1822863"/>
              <a:ext cx="1821180" cy="1254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13062</xdr:colOff>
      <xdr:row>25</xdr:row>
      <xdr:rowOff>10885</xdr:rowOff>
    </xdr:from>
    <xdr:to>
      <xdr:col>30</xdr:col>
      <xdr:colOff>0</xdr:colOff>
      <xdr:row>37</xdr:row>
      <xdr:rowOff>174171</xdr:rowOff>
    </xdr:to>
    <mc:AlternateContent xmlns:mc="http://schemas.openxmlformats.org/markup-compatibility/2006" xmlns:a14="http://schemas.microsoft.com/office/drawing/2010/main">
      <mc:Choice Requires="a14">
        <xdr:graphicFrame macro="">
          <xdr:nvGraphicFramePr>
            <xdr:cNvPr id="18" name="JobRole">
              <a:extLst>
                <a:ext uri="{FF2B5EF4-FFF2-40B4-BE49-F238E27FC236}">
                  <a16:creationId xmlns:a16="http://schemas.microsoft.com/office/drawing/2014/main" id="{B8D14C9E-A1FB-44CA-8222-D62F2FF39B0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6472262" y="4513612"/>
              <a:ext cx="1815738" cy="232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605245</xdr:colOff>
      <xdr:row>18</xdr:row>
      <xdr:rowOff>14152</xdr:rowOff>
    </xdr:from>
    <xdr:to>
      <xdr:col>30</xdr:col>
      <xdr:colOff>7620</xdr:colOff>
      <xdr:row>23</xdr:row>
      <xdr:rowOff>57695</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0BBCE09A-CA96-4FE0-AAE7-A1780CEA3F0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454845" y="3256116"/>
              <a:ext cx="1840775" cy="944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5255</xdr:colOff>
      <xdr:row>11</xdr:row>
      <xdr:rowOff>6006</xdr:rowOff>
    </xdr:from>
    <xdr:to>
      <xdr:col>9</xdr:col>
      <xdr:colOff>605246</xdr:colOff>
      <xdr:row>23</xdr:row>
      <xdr:rowOff>0</xdr:rowOff>
    </xdr:to>
    <xdr:graphicFrame macro="">
      <xdr:nvGraphicFramePr>
        <xdr:cNvPr id="20" name="Chart 19">
          <a:extLst>
            <a:ext uri="{FF2B5EF4-FFF2-40B4-BE49-F238E27FC236}">
              <a16:creationId xmlns:a16="http://schemas.microsoft.com/office/drawing/2014/main" id="{C807E23A-E1FC-4CEE-9359-3194F47615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26</xdr:row>
      <xdr:rowOff>0</xdr:rowOff>
    </xdr:from>
    <xdr:to>
      <xdr:col>9</xdr:col>
      <xdr:colOff>603974</xdr:colOff>
      <xdr:row>38</xdr:row>
      <xdr:rowOff>3463</xdr:rowOff>
    </xdr:to>
    <xdr:graphicFrame macro="">
      <xdr:nvGraphicFramePr>
        <xdr:cNvPr id="25" name="Chart 24">
          <a:extLst>
            <a:ext uri="{FF2B5EF4-FFF2-40B4-BE49-F238E27FC236}">
              <a16:creationId xmlns:a16="http://schemas.microsoft.com/office/drawing/2014/main" id="{E3BB4126-9434-4E85-8BDD-8D2F49090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11</xdr:row>
      <xdr:rowOff>0</xdr:rowOff>
    </xdr:from>
    <xdr:to>
      <xdr:col>18</xdr:col>
      <xdr:colOff>9000</xdr:colOff>
      <xdr:row>22</xdr:row>
      <xdr:rowOff>172666</xdr:rowOff>
    </xdr:to>
    <xdr:graphicFrame macro="">
      <xdr:nvGraphicFramePr>
        <xdr:cNvPr id="26" name="Chart 25">
          <a:extLst>
            <a:ext uri="{FF2B5EF4-FFF2-40B4-BE49-F238E27FC236}">
              <a16:creationId xmlns:a16="http://schemas.microsoft.com/office/drawing/2014/main" id="{6353F5DE-3C8E-4B60-9FE0-97E47A640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26</xdr:row>
      <xdr:rowOff>0</xdr:rowOff>
    </xdr:from>
    <xdr:to>
      <xdr:col>17</xdr:col>
      <xdr:colOff>600635</xdr:colOff>
      <xdr:row>37</xdr:row>
      <xdr:rowOff>181936</xdr:rowOff>
    </xdr:to>
    <xdr:graphicFrame macro="">
      <xdr:nvGraphicFramePr>
        <xdr:cNvPr id="27" name="Chart 26">
          <a:extLst>
            <a:ext uri="{FF2B5EF4-FFF2-40B4-BE49-F238E27FC236}">
              <a16:creationId xmlns:a16="http://schemas.microsoft.com/office/drawing/2014/main" id="{62EF9BA0-ADF1-432E-B637-5BCBD5E84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10</xdr:row>
      <xdr:rowOff>183931</xdr:rowOff>
    </xdr:from>
    <xdr:to>
      <xdr:col>26</xdr:col>
      <xdr:colOff>0</xdr:colOff>
      <xdr:row>23</xdr:row>
      <xdr:rowOff>15765</xdr:rowOff>
    </xdr:to>
    <xdr:graphicFrame macro="">
      <xdr:nvGraphicFramePr>
        <xdr:cNvPr id="29" name="Chart 28">
          <a:extLst>
            <a:ext uri="{FF2B5EF4-FFF2-40B4-BE49-F238E27FC236}">
              <a16:creationId xmlns:a16="http://schemas.microsoft.com/office/drawing/2014/main" id="{EEE6CA81-F46E-4268-8C98-EEEB355FA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26</xdr:row>
      <xdr:rowOff>1</xdr:rowOff>
    </xdr:from>
    <xdr:to>
      <xdr:col>25</xdr:col>
      <xdr:colOff>602902</xdr:colOff>
      <xdr:row>38</xdr:row>
      <xdr:rowOff>1</xdr:rowOff>
    </xdr:to>
    <xdr:graphicFrame macro="">
      <xdr:nvGraphicFramePr>
        <xdr:cNvPr id="31" name="Chart 30">
          <a:extLst>
            <a:ext uri="{FF2B5EF4-FFF2-40B4-BE49-F238E27FC236}">
              <a16:creationId xmlns:a16="http://schemas.microsoft.com/office/drawing/2014/main" id="{1E1482DF-74F3-4093-AD6B-7C2B1F8EA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refreshedDate="46082.722004282405" createdVersion="8" refreshedVersion="8" minRefreshableVersion="3" recordCount="1470" xr:uid="{CDCBCFFA-0211-4DAE-90A0-37EF589B7392}">
  <cacheSource type="worksheet">
    <worksheetSource name="HR_Data"/>
  </cacheSource>
  <cacheFields count="38">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Numeric" numFmtId="0">
      <sharedItems containsSemiMixedTypes="0" containsString="0" containsNumber="1" containsInteger="1" minValue="0" maxValue="1" count="2">
        <n v="1"/>
        <n v="0"/>
      </sharedItems>
    </cacheField>
    <cacheField name="Age Group" numFmtId="0">
      <sharedItems count="4">
        <s v="36-45"/>
        <s v="45+"/>
        <s v="26-35"/>
        <s v="18-25"/>
      </sharedItems>
    </cacheField>
    <cacheField name="Tenure Group" numFmtId="0">
      <sharedItems count="4">
        <s v="Mid Tenure"/>
        <s v="New Employees"/>
        <s v="Early Stage"/>
        <s v="Long Term Employees"/>
      </sharedItems>
    </cacheField>
  </cacheFields>
  <extLst>
    <ext xmlns:x14="http://schemas.microsoft.com/office/spreadsheetml/2009/9/main" uri="{725AE2AE-9491-48be-B2B4-4EB974FC3084}">
      <x14:pivotCacheDefinition pivotCacheId="14454301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1"/>
    <n v="2"/>
    <x v="0"/>
    <n v="94"/>
    <n v="3"/>
    <n v="2"/>
    <x v="0"/>
    <x v="0"/>
    <s v="Single"/>
    <n v="5993"/>
    <n v="19479"/>
    <n v="8"/>
    <s v="Y"/>
    <s v="Yes"/>
    <n v="11"/>
    <n v="3"/>
    <n v="1"/>
    <n v="80"/>
    <n v="0"/>
    <n v="8"/>
    <n v="0"/>
    <n v="1"/>
    <n v="6"/>
    <n v="4"/>
    <n v="0"/>
    <n v="5"/>
    <x v="0"/>
    <x v="0"/>
    <x v="0"/>
  </r>
  <r>
    <n v="49"/>
    <s v="No"/>
    <s v="Travel_Frequently"/>
    <n v="279"/>
    <x v="1"/>
    <n v="8"/>
    <n v="1"/>
    <s v="Life Sciences"/>
    <n v="1"/>
    <n v="2"/>
    <n v="3"/>
    <x v="1"/>
    <n v="61"/>
    <n v="2"/>
    <n v="2"/>
    <x v="1"/>
    <x v="1"/>
    <s v="Married"/>
    <n v="5130"/>
    <n v="24907"/>
    <n v="1"/>
    <s v="Y"/>
    <s v="No"/>
    <n v="23"/>
    <n v="4"/>
    <n v="4"/>
    <n v="80"/>
    <n v="1"/>
    <n v="10"/>
    <n v="3"/>
    <n v="3"/>
    <n v="10"/>
    <n v="7"/>
    <n v="1"/>
    <n v="7"/>
    <x v="1"/>
    <x v="1"/>
    <x v="0"/>
  </r>
  <r>
    <n v="37"/>
    <s v="Yes"/>
    <s v="Travel_Rarely"/>
    <n v="1373"/>
    <x v="1"/>
    <n v="2"/>
    <n v="2"/>
    <s v="Other"/>
    <n v="1"/>
    <n v="4"/>
    <n v="4"/>
    <x v="1"/>
    <n v="92"/>
    <n v="2"/>
    <n v="1"/>
    <x v="2"/>
    <x v="2"/>
    <s v="Single"/>
    <n v="2090"/>
    <n v="2396"/>
    <n v="6"/>
    <s v="Y"/>
    <s v="Yes"/>
    <n v="15"/>
    <n v="3"/>
    <n v="2"/>
    <n v="80"/>
    <n v="0"/>
    <n v="7"/>
    <n v="3"/>
    <n v="3"/>
    <n v="0"/>
    <n v="0"/>
    <n v="0"/>
    <n v="0"/>
    <x v="0"/>
    <x v="0"/>
    <x v="1"/>
  </r>
  <r>
    <n v="33"/>
    <s v="No"/>
    <s v="Travel_Frequently"/>
    <n v="1392"/>
    <x v="1"/>
    <n v="3"/>
    <n v="4"/>
    <s v="Life Sciences"/>
    <n v="1"/>
    <n v="5"/>
    <n v="4"/>
    <x v="0"/>
    <n v="56"/>
    <n v="3"/>
    <n v="1"/>
    <x v="1"/>
    <x v="2"/>
    <s v="Married"/>
    <n v="2909"/>
    <n v="23159"/>
    <n v="1"/>
    <s v="Y"/>
    <s v="Yes"/>
    <n v="11"/>
    <n v="3"/>
    <n v="3"/>
    <n v="80"/>
    <n v="0"/>
    <n v="8"/>
    <n v="3"/>
    <n v="3"/>
    <n v="8"/>
    <n v="7"/>
    <n v="3"/>
    <n v="0"/>
    <x v="1"/>
    <x v="2"/>
    <x v="0"/>
  </r>
  <r>
    <n v="27"/>
    <s v="No"/>
    <s v="Travel_Rarely"/>
    <n v="591"/>
    <x v="1"/>
    <n v="2"/>
    <n v="1"/>
    <s v="Medical"/>
    <n v="1"/>
    <n v="7"/>
    <n v="1"/>
    <x v="1"/>
    <n v="40"/>
    <n v="3"/>
    <n v="1"/>
    <x v="2"/>
    <x v="1"/>
    <s v="Married"/>
    <n v="3468"/>
    <n v="16632"/>
    <n v="9"/>
    <s v="Y"/>
    <s v="No"/>
    <n v="12"/>
    <n v="3"/>
    <n v="4"/>
    <n v="80"/>
    <n v="1"/>
    <n v="6"/>
    <n v="3"/>
    <n v="3"/>
    <n v="2"/>
    <n v="2"/>
    <n v="2"/>
    <n v="2"/>
    <x v="1"/>
    <x v="2"/>
    <x v="1"/>
  </r>
  <r>
    <n v="32"/>
    <s v="No"/>
    <s v="Travel_Frequently"/>
    <n v="1005"/>
    <x v="1"/>
    <n v="2"/>
    <n v="2"/>
    <s v="Life Sciences"/>
    <n v="1"/>
    <n v="8"/>
    <n v="4"/>
    <x v="1"/>
    <n v="79"/>
    <n v="3"/>
    <n v="1"/>
    <x v="2"/>
    <x v="0"/>
    <s v="Single"/>
    <n v="3068"/>
    <n v="11864"/>
    <n v="0"/>
    <s v="Y"/>
    <s v="No"/>
    <n v="13"/>
    <n v="3"/>
    <n v="3"/>
    <n v="80"/>
    <n v="0"/>
    <n v="8"/>
    <n v="2"/>
    <n v="2"/>
    <n v="7"/>
    <n v="7"/>
    <n v="3"/>
    <n v="6"/>
    <x v="1"/>
    <x v="2"/>
    <x v="0"/>
  </r>
  <r>
    <n v="59"/>
    <s v="No"/>
    <s v="Travel_Rarely"/>
    <n v="1324"/>
    <x v="1"/>
    <n v="3"/>
    <n v="3"/>
    <s v="Medical"/>
    <n v="1"/>
    <n v="10"/>
    <n v="3"/>
    <x v="0"/>
    <n v="81"/>
    <n v="4"/>
    <n v="1"/>
    <x v="2"/>
    <x v="3"/>
    <s v="Married"/>
    <n v="2670"/>
    <n v="9964"/>
    <n v="4"/>
    <s v="Y"/>
    <s v="Yes"/>
    <n v="20"/>
    <n v="4"/>
    <n v="1"/>
    <n v="80"/>
    <n v="3"/>
    <n v="12"/>
    <n v="3"/>
    <n v="2"/>
    <n v="1"/>
    <n v="0"/>
    <n v="0"/>
    <n v="0"/>
    <x v="1"/>
    <x v="1"/>
    <x v="1"/>
  </r>
  <r>
    <n v="30"/>
    <s v="No"/>
    <s v="Travel_Rarely"/>
    <n v="1358"/>
    <x v="1"/>
    <n v="24"/>
    <n v="1"/>
    <s v="Life Sciences"/>
    <n v="1"/>
    <n v="11"/>
    <n v="4"/>
    <x v="1"/>
    <n v="67"/>
    <n v="3"/>
    <n v="1"/>
    <x v="2"/>
    <x v="2"/>
    <s v="Divorced"/>
    <n v="2693"/>
    <n v="13335"/>
    <n v="1"/>
    <s v="Y"/>
    <s v="No"/>
    <n v="22"/>
    <n v="4"/>
    <n v="2"/>
    <n v="80"/>
    <n v="1"/>
    <n v="1"/>
    <n v="2"/>
    <n v="3"/>
    <n v="1"/>
    <n v="0"/>
    <n v="0"/>
    <n v="0"/>
    <x v="1"/>
    <x v="2"/>
    <x v="1"/>
  </r>
  <r>
    <n v="38"/>
    <s v="No"/>
    <s v="Travel_Frequently"/>
    <n v="216"/>
    <x v="1"/>
    <n v="23"/>
    <n v="3"/>
    <s v="Life Sciences"/>
    <n v="1"/>
    <n v="12"/>
    <n v="4"/>
    <x v="1"/>
    <n v="44"/>
    <n v="2"/>
    <n v="3"/>
    <x v="3"/>
    <x v="2"/>
    <s v="Single"/>
    <n v="9526"/>
    <n v="8787"/>
    <n v="0"/>
    <s v="Y"/>
    <s v="No"/>
    <n v="21"/>
    <n v="4"/>
    <n v="2"/>
    <n v="80"/>
    <n v="0"/>
    <n v="10"/>
    <n v="2"/>
    <n v="3"/>
    <n v="9"/>
    <n v="7"/>
    <n v="1"/>
    <n v="8"/>
    <x v="1"/>
    <x v="0"/>
    <x v="0"/>
  </r>
  <r>
    <n v="36"/>
    <s v="No"/>
    <s v="Travel_Rarely"/>
    <n v="1299"/>
    <x v="1"/>
    <n v="27"/>
    <n v="3"/>
    <s v="Medical"/>
    <n v="1"/>
    <n v="13"/>
    <n v="3"/>
    <x v="1"/>
    <n v="94"/>
    <n v="3"/>
    <n v="2"/>
    <x v="4"/>
    <x v="2"/>
    <s v="Married"/>
    <n v="5237"/>
    <n v="16577"/>
    <n v="6"/>
    <s v="Y"/>
    <s v="No"/>
    <n v="13"/>
    <n v="3"/>
    <n v="2"/>
    <n v="80"/>
    <n v="2"/>
    <n v="17"/>
    <n v="3"/>
    <n v="2"/>
    <n v="7"/>
    <n v="7"/>
    <n v="7"/>
    <n v="7"/>
    <x v="1"/>
    <x v="0"/>
    <x v="0"/>
  </r>
  <r>
    <n v="35"/>
    <s v="No"/>
    <s v="Travel_Rarely"/>
    <n v="809"/>
    <x v="1"/>
    <n v="16"/>
    <n v="3"/>
    <s v="Medical"/>
    <n v="1"/>
    <n v="14"/>
    <n v="1"/>
    <x v="1"/>
    <n v="84"/>
    <n v="4"/>
    <n v="1"/>
    <x v="2"/>
    <x v="1"/>
    <s v="Married"/>
    <n v="2426"/>
    <n v="16479"/>
    <n v="0"/>
    <s v="Y"/>
    <s v="No"/>
    <n v="13"/>
    <n v="3"/>
    <n v="3"/>
    <n v="80"/>
    <n v="1"/>
    <n v="6"/>
    <n v="5"/>
    <n v="3"/>
    <n v="5"/>
    <n v="4"/>
    <n v="0"/>
    <n v="3"/>
    <x v="1"/>
    <x v="2"/>
    <x v="2"/>
  </r>
  <r>
    <n v="29"/>
    <s v="No"/>
    <s v="Travel_Rarely"/>
    <n v="153"/>
    <x v="1"/>
    <n v="15"/>
    <n v="2"/>
    <s v="Life Sciences"/>
    <n v="1"/>
    <n v="15"/>
    <n v="4"/>
    <x v="0"/>
    <n v="49"/>
    <n v="2"/>
    <n v="2"/>
    <x v="2"/>
    <x v="2"/>
    <s v="Single"/>
    <n v="4193"/>
    <n v="12682"/>
    <n v="0"/>
    <s v="Y"/>
    <s v="Yes"/>
    <n v="12"/>
    <n v="3"/>
    <n v="4"/>
    <n v="80"/>
    <n v="0"/>
    <n v="10"/>
    <n v="3"/>
    <n v="3"/>
    <n v="9"/>
    <n v="5"/>
    <n v="0"/>
    <n v="8"/>
    <x v="1"/>
    <x v="2"/>
    <x v="0"/>
  </r>
  <r>
    <n v="31"/>
    <s v="No"/>
    <s v="Travel_Rarely"/>
    <n v="670"/>
    <x v="1"/>
    <n v="26"/>
    <n v="1"/>
    <s v="Life Sciences"/>
    <n v="1"/>
    <n v="16"/>
    <n v="1"/>
    <x v="1"/>
    <n v="31"/>
    <n v="3"/>
    <n v="1"/>
    <x v="1"/>
    <x v="2"/>
    <s v="Divorced"/>
    <n v="2911"/>
    <n v="15170"/>
    <n v="1"/>
    <s v="Y"/>
    <s v="No"/>
    <n v="17"/>
    <n v="3"/>
    <n v="4"/>
    <n v="80"/>
    <n v="1"/>
    <n v="5"/>
    <n v="1"/>
    <n v="2"/>
    <n v="5"/>
    <n v="2"/>
    <n v="4"/>
    <n v="3"/>
    <x v="1"/>
    <x v="2"/>
    <x v="2"/>
  </r>
  <r>
    <n v="34"/>
    <s v="No"/>
    <s v="Travel_Rarely"/>
    <n v="1346"/>
    <x v="1"/>
    <n v="19"/>
    <n v="2"/>
    <s v="Medical"/>
    <n v="1"/>
    <n v="18"/>
    <n v="2"/>
    <x v="1"/>
    <n v="93"/>
    <n v="3"/>
    <n v="1"/>
    <x v="2"/>
    <x v="0"/>
    <s v="Divorced"/>
    <n v="2661"/>
    <n v="8758"/>
    <n v="0"/>
    <s v="Y"/>
    <s v="No"/>
    <n v="11"/>
    <n v="3"/>
    <n v="3"/>
    <n v="80"/>
    <n v="1"/>
    <n v="3"/>
    <n v="2"/>
    <n v="3"/>
    <n v="2"/>
    <n v="2"/>
    <n v="1"/>
    <n v="2"/>
    <x v="1"/>
    <x v="2"/>
    <x v="1"/>
  </r>
  <r>
    <n v="28"/>
    <s v="Yes"/>
    <s v="Travel_Rarely"/>
    <n v="103"/>
    <x v="1"/>
    <n v="24"/>
    <n v="3"/>
    <s v="Life Sciences"/>
    <n v="1"/>
    <n v="19"/>
    <n v="3"/>
    <x v="1"/>
    <n v="50"/>
    <n v="2"/>
    <n v="1"/>
    <x v="2"/>
    <x v="2"/>
    <s v="Single"/>
    <n v="2028"/>
    <n v="12947"/>
    <n v="5"/>
    <s v="Y"/>
    <s v="Yes"/>
    <n v="14"/>
    <n v="3"/>
    <n v="2"/>
    <n v="80"/>
    <n v="0"/>
    <n v="6"/>
    <n v="4"/>
    <n v="3"/>
    <n v="4"/>
    <n v="2"/>
    <n v="0"/>
    <n v="3"/>
    <x v="0"/>
    <x v="2"/>
    <x v="2"/>
  </r>
  <r>
    <n v="29"/>
    <s v="No"/>
    <s v="Travel_Rarely"/>
    <n v="1389"/>
    <x v="1"/>
    <n v="21"/>
    <n v="4"/>
    <s v="Life Sciences"/>
    <n v="1"/>
    <n v="20"/>
    <n v="2"/>
    <x v="0"/>
    <n v="51"/>
    <n v="4"/>
    <n v="3"/>
    <x v="3"/>
    <x v="3"/>
    <s v="Divorced"/>
    <n v="9980"/>
    <n v="10195"/>
    <n v="1"/>
    <s v="Y"/>
    <s v="No"/>
    <n v="11"/>
    <n v="3"/>
    <n v="3"/>
    <n v="80"/>
    <n v="1"/>
    <n v="10"/>
    <n v="1"/>
    <n v="3"/>
    <n v="10"/>
    <n v="9"/>
    <n v="8"/>
    <n v="8"/>
    <x v="1"/>
    <x v="2"/>
    <x v="0"/>
  </r>
  <r>
    <n v="32"/>
    <s v="No"/>
    <s v="Travel_Rarely"/>
    <n v="334"/>
    <x v="1"/>
    <n v="5"/>
    <n v="2"/>
    <s v="Life Sciences"/>
    <n v="1"/>
    <n v="21"/>
    <n v="1"/>
    <x v="1"/>
    <n v="80"/>
    <n v="4"/>
    <n v="1"/>
    <x v="1"/>
    <x v="1"/>
    <s v="Divorced"/>
    <n v="3298"/>
    <n v="15053"/>
    <n v="0"/>
    <s v="Y"/>
    <s v="Yes"/>
    <n v="12"/>
    <n v="3"/>
    <n v="4"/>
    <n v="80"/>
    <n v="2"/>
    <n v="7"/>
    <n v="5"/>
    <n v="2"/>
    <n v="6"/>
    <n v="2"/>
    <n v="0"/>
    <n v="5"/>
    <x v="1"/>
    <x v="2"/>
    <x v="0"/>
  </r>
  <r>
    <n v="22"/>
    <s v="No"/>
    <s v="Non-Travel"/>
    <n v="1123"/>
    <x v="1"/>
    <n v="16"/>
    <n v="2"/>
    <s v="Medical"/>
    <n v="1"/>
    <n v="22"/>
    <n v="4"/>
    <x v="1"/>
    <n v="96"/>
    <n v="4"/>
    <n v="1"/>
    <x v="2"/>
    <x v="0"/>
    <s v="Divorced"/>
    <n v="2935"/>
    <n v="7324"/>
    <n v="1"/>
    <s v="Y"/>
    <s v="Yes"/>
    <n v="13"/>
    <n v="3"/>
    <n v="2"/>
    <n v="80"/>
    <n v="2"/>
    <n v="1"/>
    <n v="2"/>
    <n v="2"/>
    <n v="1"/>
    <n v="0"/>
    <n v="0"/>
    <n v="0"/>
    <x v="1"/>
    <x v="3"/>
    <x v="1"/>
  </r>
  <r>
    <n v="53"/>
    <s v="No"/>
    <s v="Travel_Rarely"/>
    <n v="1219"/>
    <x v="0"/>
    <n v="2"/>
    <n v="4"/>
    <s v="Life Sciences"/>
    <n v="1"/>
    <n v="23"/>
    <n v="1"/>
    <x v="0"/>
    <n v="78"/>
    <n v="2"/>
    <n v="4"/>
    <x v="5"/>
    <x v="0"/>
    <s v="Married"/>
    <n v="15427"/>
    <n v="22021"/>
    <n v="2"/>
    <s v="Y"/>
    <s v="No"/>
    <n v="16"/>
    <n v="3"/>
    <n v="3"/>
    <n v="80"/>
    <n v="0"/>
    <n v="31"/>
    <n v="3"/>
    <n v="3"/>
    <n v="25"/>
    <n v="8"/>
    <n v="3"/>
    <n v="7"/>
    <x v="1"/>
    <x v="1"/>
    <x v="3"/>
  </r>
  <r>
    <n v="38"/>
    <s v="No"/>
    <s v="Travel_Rarely"/>
    <n v="371"/>
    <x v="1"/>
    <n v="2"/>
    <n v="3"/>
    <s v="Life Sciences"/>
    <n v="1"/>
    <n v="24"/>
    <n v="4"/>
    <x v="1"/>
    <n v="45"/>
    <n v="3"/>
    <n v="1"/>
    <x v="1"/>
    <x v="0"/>
    <s v="Single"/>
    <n v="3944"/>
    <n v="4306"/>
    <n v="5"/>
    <s v="Y"/>
    <s v="Yes"/>
    <n v="11"/>
    <n v="3"/>
    <n v="3"/>
    <n v="80"/>
    <n v="0"/>
    <n v="6"/>
    <n v="3"/>
    <n v="3"/>
    <n v="3"/>
    <n v="2"/>
    <n v="1"/>
    <n v="2"/>
    <x v="1"/>
    <x v="0"/>
    <x v="2"/>
  </r>
  <r>
    <n v="24"/>
    <s v="No"/>
    <s v="Non-Travel"/>
    <n v="673"/>
    <x v="1"/>
    <n v="11"/>
    <n v="2"/>
    <s v="Other"/>
    <n v="1"/>
    <n v="26"/>
    <n v="1"/>
    <x v="0"/>
    <n v="96"/>
    <n v="4"/>
    <n v="2"/>
    <x v="3"/>
    <x v="2"/>
    <s v="Divorced"/>
    <n v="4011"/>
    <n v="8232"/>
    <n v="0"/>
    <s v="Y"/>
    <s v="No"/>
    <n v="18"/>
    <n v="3"/>
    <n v="4"/>
    <n v="80"/>
    <n v="1"/>
    <n v="5"/>
    <n v="5"/>
    <n v="2"/>
    <n v="4"/>
    <n v="2"/>
    <n v="1"/>
    <n v="3"/>
    <x v="1"/>
    <x v="3"/>
    <x v="2"/>
  </r>
  <r>
    <n v="36"/>
    <s v="Yes"/>
    <s v="Travel_Rarely"/>
    <n v="1218"/>
    <x v="0"/>
    <n v="9"/>
    <n v="4"/>
    <s v="Life Sciences"/>
    <n v="1"/>
    <n v="27"/>
    <n v="3"/>
    <x v="1"/>
    <n v="82"/>
    <n v="2"/>
    <n v="1"/>
    <x v="6"/>
    <x v="3"/>
    <s v="Single"/>
    <n v="3407"/>
    <n v="6986"/>
    <n v="7"/>
    <s v="Y"/>
    <s v="No"/>
    <n v="23"/>
    <n v="4"/>
    <n v="2"/>
    <n v="80"/>
    <n v="0"/>
    <n v="10"/>
    <n v="4"/>
    <n v="3"/>
    <n v="5"/>
    <n v="3"/>
    <n v="0"/>
    <n v="3"/>
    <x v="0"/>
    <x v="0"/>
    <x v="2"/>
  </r>
  <r>
    <n v="34"/>
    <s v="No"/>
    <s v="Travel_Rarely"/>
    <n v="419"/>
    <x v="1"/>
    <n v="7"/>
    <n v="4"/>
    <s v="Life Sciences"/>
    <n v="1"/>
    <n v="28"/>
    <n v="1"/>
    <x v="0"/>
    <n v="53"/>
    <n v="3"/>
    <n v="3"/>
    <x v="7"/>
    <x v="1"/>
    <s v="Single"/>
    <n v="11994"/>
    <n v="21293"/>
    <n v="0"/>
    <s v="Y"/>
    <s v="No"/>
    <n v="11"/>
    <n v="3"/>
    <n v="3"/>
    <n v="80"/>
    <n v="0"/>
    <n v="13"/>
    <n v="4"/>
    <n v="3"/>
    <n v="12"/>
    <n v="6"/>
    <n v="2"/>
    <n v="11"/>
    <x v="1"/>
    <x v="2"/>
    <x v="3"/>
  </r>
  <r>
    <n v="21"/>
    <s v="No"/>
    <s v="Travel_Rarely"/>
    <n v="391"/>
    <x v="1"/>
    <n v="15"/>
    <n v="2"/>
    <s v="Life Sciences"/>
    <n v="1"/>
    <n v="30"/>
    <n v="3"/>
    <x v="1"/>
    <n v="96"/>
    <n v="3"/>
    <n v="1"/>
    <x v="1"/>
    <x v="0"/>
    <s v="Single"/>
    <n v="1232"/>
    <n v="19281"/>
    <n v="1"/>
    <s v="Y"/>
    <s v="No"/>
    <n v="14"/>
    <n v="3"/>
    <n v="4"/>
    <n v="80"/>
    <n v="0"/>
    <n v="0"/>
    <n v="6"/>
    <n v="3"/>
    <n v="0"/>
    <n v="0"/>
    <n v="0"/>
    <n v="0"/>
    <x v="1"/>
    <x v="3"/>
    <x v="1"/>
  </r>
  <r>
    <n v="34"/>
    <s v="Yes"/>
    <s v="Travel_Rarely"/>
    <n v="699"/>
    <x v="1"/>
    <n v="6"/>
    <n v="1"/>
    <s v="Medical"/>
    <n v="1"/>
    <n v="31"/>
    <n v="2"/>
    <x v="1"/>
    <n v="83"/>
    <n v="3"/>
    <n v="1"/>
    <x v="1"/>
    <x v="3"/>
    <s v="Single"/>
    <n v="2960"/>
    <n v="17102"/>
    <n v="2"/>
    <s v="Y"/>
    <s v="No"/>
    <n v="11"/>
    <n v="3"/>
    <n v="3"/>
    <n v="80"/>
    <n v="0"/>
    <n v="8"/>
    <n v="2"/>
    <n v="3"/>
    <n v="4"/>
    <n v="2"/>
    <n v="1"/>
    <n v="3"/>
    <x v="0"/>
    <x v="2"/>
    <x v="2"/>
  </r>
  <r>
    <n v="53"/>
    <s v="No"/>
    <s v="Travel_Rarely"/>
    <n v="1282"/>
    <x v="1"/>
    <n v="5"/>
    <n v="3"/>
    <s v="Other"/>
    <n v="1"/>
    <n v="32"/>
    <n v="3"/>
    <x v="0"/>
    <n v="58"/>
    <n v="3"/>
    <n v="5"/>
    <x v="5"/>
    <x v="2"/>
    <s v="Divorced"/>
    <n v="19094"/>
    <n v="10735"/>
    <n v="4"/>
    <s v="Y"/>
    <s v="No"/>
    <n v="11"/>
    <n v="3"/>
    <n v="4"/>
    <n v="80"/>
    <n v="1"/>
    <n v="26"/>
    <n v="3"/>
    <n v="2"/>
    <n v="14"/>
    <n v="13"/>
    <n v="4"/>
    <n v="8"/>
    <x v="1"/>
    <x v="1"/>
    <x v="3"/>
  </r>
  <r>
    <n v="32"/>
    <s v="Yes"/>
    <s v="Travel_Frequently"/>
    <n v="1125"/>
    <x v="1"/>
    <n v="16"/>
    <n v="1"/>
    <s v="Life Sciences"/>
    <n v="1"/>
    <n v="33"/>
    <n v="2"/>
    <x v="0"/>
    <n v="72"/>
    <n v="1"/>
    <n v="1"/>
    <x v="1"/>
    <x v="3"/>
    <s v="Single"/>
    <n v="3919"/>
    <n v="4681"/>
    <n v="1"/>
    <s v="Y"/>
    <s v="Yes"/>
    <n v="22"/>
    <n v="4"/>
    <n v="2"/>
    <n v="80"/>
    <n v="0"/>
    <n v="10"/>
    <n v="5"/>
    <n v="3"/>
    <n v="10"/>
    <n v="2"/>
    <n v="6"/>
    <n v="7"/>
    <x v="0"/>
    <x v="2"/>
    <x v="0"/>
  </r>
  <r>
    <n v="42"/>
    <s v="No"/>
    <s v="Travel_Rarely"/>
    <n v="691"/>
    <x v="0"/>
    <n v="8"/>
    <n v="4"/>
    <s v="Marketing"/>
    <n v="1"/>
    <n v="35"/>
    <n v="3"/>
    <x v="1"/>
    <n v="48"/>
    <n v="3"/>
    <n v="2"/>
    <x v="0"/>
    <x v="1"/>
    <s v="Married"/>
    <n v="6825"/>
    <n v="21173"/>
    <n v="0"/>
    <s v="Y"/>
    <s v="No"/>
    <n v="11"/>
    <n v="3"/>
    <n v="4"/>
    <n v="80"/>
    <n v="1"/>
    <n v="10"/>
    <n v="2"/>
    <n v="3"/>
    <n v="9"/>
    <n v="7"/>
    <n v="4"/>
    <n v="2"/>
    <x v="1"/>
    <x v="0"/>
    <x v="0"/>
  </r>
  <r>
    <n v="44"/>
    <s v="No"/>
    <s v="Travel_Rarely"/>
    <n v="477"/>
    <x v="1"/>
    <n v="7"/>
    <n v="4"/>
    <s v="Medical"/>
    <n v="1"/>
    <n v="36"/>
    <n v="1"/>
    <x v="0"/>
    <n v="42"/>
    <n v="2"/>
    <n v="3"/>
    <x v="4"/>
    <x v="0"/>
    <s v="Married"/>
    <n v="10248"/>
    <n v="2094"/>
    <n v="3"/>
    <s v="Y"/>
    <s v="No"/>
    <n v="14"/>
    <n v="3"/>
    <n v="4"/>
    <n v="80"/>
    <n v="1"/>
    <n v="24"/>
    <n v="4"/>
    <n v="3"/>
    <n v="22"/>
    <n v="6"/>
    <n v="5"/>
    <n v="17"/>
    <x v="1"/>
    <x v="0"/>
    <x v="3"/>
  </r>
  <r>
    <n v="46"/>
    <s v="No"/>
    <s v="Travel_Rarely"/>
    <n v="705"/>
    <x v="0"/>
    <n v="2"/>
    <n v="4"/>
    <s v="Marketing"/>
    <n v="1"/>
    <n v="38"/>
    <n v="2"/>
    <x v="0"/>
    <n v="83"/>
    <n v="3"/>
    <n v="5"/>
    <x v="5"/>
    <x v="3"/>
    <s v="Single"/>
    <n v="18947"/>
    <n v="22822"/>
    <n v="3"/>
    <s v="Y"/>
    <s v="No"/>
    <n v="12"/>
    <n v="3"/>
    <n v="4"/>
    <n v="80"/>
    <n v="0"/>
    <n v="22"/>
    <n v="2"/>
    <n v="2"/>
    <n v="2"/>
    <n v="2"/>
    <n v="2"/>
    <n v="1"/>
    <x v="1"/>
    <x v="1"/>
    <x v="1"/>
  </r>
  <r>
    <n v="33"/>
    <s v="No"/>
    <s v="Travel_Rarely"/>
    <n v="924"/>
    <x v="1"/>
    <n v="2"/>
    <n v="3"/>
    <s v="Medical"/>
    <n v="1"/>
    <n v="39"/>
    <n v="3"/>
    <x v="1"/>
    <n v="78"/>
    <n v="3"/>
    <n v="1"/>
    <x v="2"/>
    <x v="0"/>
    <s v="Single"/>
    <n v="2496"/>
    <n v="6670"/>
    <n v="4"/>
    <s v="Y"/>
    <s v="No"/>
    <n v="11"/>
    <n v="3"/>
    <n v="4"/>
    <n v="80"/>
    <n v="0"/>
    <n v="7"/>
    <n v="3"/>
    <n v="3"/>
    <n v="1"/>
    <n v="1"/>
    <n v="0"/>
    <n v="0"/>
    <x v="1"/>
    <x v="2"/>
    <x v="1"/>
  </r>
  <r>
    <n v="44"/>
    <s v="No"/>
    <s v="Travel_Rarely"/>
    <n v="1459"/>
    <x v="1"/>
    <n v="10"/>
    <n v="4"/>
    <s v="Other"/>
    <n v="1"/>
    <n v="40"/>
    <n v="4"/>
    <x v="1"/>
    <n v="41"/>
    <n v="3"/>
    <n v="2"/>
    <x v="4"/>
    <x v="0"/>
    <s v="Married"/>
    <n v="6465"/>
    <n v="19121"/>
    <n v="2"/>
    <s v="Y"/>
    <s v="Yes"/>
    <n v="13"/>
    <n v="3"/>
    <n v="4"/>
    <n v="80"/>
    <n v="0"/>
    <n v="9"/>
    <n v="5"/>
    <n v="4"/>
    <n v="4"/>
    <n v="2"/>
    <n v="1"/>
    <n v="3"/>
    <x v="1"/>
    <x v="0"/>
    <x v="2"/>
  </r>
  <r>
    <n v="30"/>
    <s v="No"/>
    <s v="Travel_Rarely"/>
    <n v="125"/>
    <x v="1"/>
    <n v="9"/>
    <n v="2"/>
    <s v="Medical"/>
    <n v="1"/>
    <n v="41"/>
    <n v="4"/>
    <x v="1"/>
    <n v="83"/>
    <n v="2"/>
    <n v="1"/>
    <x v="2"/>
    <x v="2"/>
    <s v="Single"/>
    <n v="2206"/>
    <n v="16117"/>
    <n v="1"/>
    <s v="Y"/>
    <s v="No"/>
    <n v="13"/>
    <n v="3"/>
    <n v="1"/>
    <n v="80"/>
    <n v="0"/>
    <n v="10"/>
    <n v="5"/>
    <n v="3"/>
    <n v="10"/>
    <n v="0"/>
    <n v="1"/>
    <n v="8"/>
    <x v="1"/>
    <x v="2"/>
    <x v="0"/>
  </r>
  <r>
    <n v="39"/>
    <s v="Yes"/>
    <s v="Travel_Rarely"/>
    <n v="895"/>
    <x v="0"/>
    <n v="5"/>
    <n v="3"/>
    <s v="Technical Degree"/>
    <n v="1"/>
    <n v="42"/>
    <n v="4"/>
    <x v="1"/>
    <n v="56"/>
    <n v="3"/>
    <n v="2"/>
    <x v="6"/>
    <x v="0"/>
    <s v="Married"/>
    <n v="2086"/>
    <n v="3335"/>
    <n v="3"/>
    <s v="Y"/>
    <s v="No"/>
    <n v="14"/>
    <n v="3"/>
    <n v="3"/>
    <n v="80"/>
    <n v="1"/>
    <n v="19"/>
    <n v="6"/>
    <n v="4"/>
    <n v="1"/>
    <n v="0"/>
    <n v="0"/>
    <n v="0"/>
    <x v="0"/>
    <x v="0"/>
    <x v="1"/>
  </r>
  <r>
    <n v="24"/>
    <s v="Yes"/>
    <s v="Travel_Rarely"/>
    <n v="813"/>
    <x v="1"/>
    <n v="1"/>
    <n v="3"/>
    <s v="Medical"/>
    <n v="1"/>
    <n v="45"/>
    <n v="2"/>
    <x v="1"/>
    <n v="61"/>
    <n v="3"/>
    <n v="1"/>
    <x v="1"/>
    <x v="0"/>
    <s v="Married"/>
    <n v="2293"/>
    <n v="3020"/>
    <n v="2"/>
    <s v="Y"/>
    <s v="Yes"/>
    <n v="16"/>
    <n v="3"/>
    <n v="1"/>
    <n v="80"/>
    <n v="1"/>
    <n v="6"/>
    <n v="2"/>
    <n v="2"/>
    <n v="2"/>
    <n v="0"/>
    <n v="2"/>
    <n v="0"/>
    <x v="0"/>
    <x v="3"/>
    <x v="1"/>
  </r>
  <r>
    <n v="43"/>
    <s v="No"/>
    <s v="Travel_Rarely"/>
    <n v="1273"/>
    <x v="1"/>
    <n v="2"/>
    <n v="2"/>
    <s v="Medical"/>
    <n v="1"/>
    <n v="46"/>
    <n v="4"/>
    <x v="0"/>
    <n v="72"/>
    <n v="4"/>
    <n v="1"/>
    <x v="1"/>
    <x v="2"/>
    <s v="Divorced"/>
    <n v="2645"/>
    <n v="21923"/>
    <n v="1"/>
    <s v="Y"/>
    <s v="No"/>
    <n v="12"/>
    <n v="3"/>
    <n v="4"/>
    <n v="80"/>
    <n v="2"/>
    <n v="6"/>
    <n v="3"/>
    <n v="2"/>
    <n v="5"/>
    <n v="3"/>
    <n v="1"/>
    <n v="4"/>
    <x v="1"/>
    <x v="0"/>
    <x v="2"/>
  </r>
  <r>
    <n v="50"/>
    <s v="Yes"/>
    <s v="Travel_Rarely"/>
    <n v="869"/>
    <x v="0"/>
    <n v="3"/>
    <n v="2"/>
    <s v="Marketing"/>
    <n v="1"/>
    <n v="47"/>
    <n v="1"/>
    <x v="1"/>
    <n v="86"/>
    <n v="2"/>
    <n v="1"/>
    <x v="6"/>
    <x v="2"/>
    <s v="Married"/>
    <n v="2683"/>
    <n v="3810"/>
    <n v="1"/>
    <s v="Y"/>
    <s v="Yes"/>
    <n v="14"/>
    <n v="3"/>
    <n v="3"/>
    <n v="80"/>
    <n v="0"/>
    <n v="3"/>
    <n v="2"/>
    <n v="3"/>
    <n v="3"/>
    <n v="2"/>
    <n v="0"/>
    <n v="2"/>
    <x v="0"/>
    <x v="1"/>
    <x v="2"/>
  </r>
  <r>
    <n v="35"/>
    <s v="No"/>
    <s v="Travel_Rarely"/>
    <n v="890"/>
    <x v="0"/>
    <n v="2"/>
    <n v="3"/>
    <s v="Marketing"/>
    <n v="1"/>
    <n v="49"/>
    <n v="4"/>
    <x v="0"/>
    <n v="97"/>
    <n v="3"/>
    <n v="1"/>
    <x v="6"/>
    <x v="0"/>
    <s v="Married"/>
    <n v="2014"/>
    <n v="9687"/>
    <n v="1"/>
    <s v="Y"/>
    <s v="No"/>
    <n v="13"/>
    <n v="3"/>
    <n v="1"/>
    <n v="80"/>
    <n v="0"/>
    <n v="2"/>
    <n v="3"/>
    <n v="3"/>
    <n v="2"/>
    <n v="2"/>
    <n v="2"/>
    <n v="2"/>
    <x v="1"/>
    <x v="2"/>
    <x v="1"/>
  </r>
  <r>
    <n v="36"/>
    <s v="No"/>
    <s v="Travel_Rarely"/>
    <n v="852"/>
    <x v="1"/>
    <n v="5"/>
    <n v="4"/>
    <s v="Life Sciences"/>
    <n v="1"/>
    <n v="51"/>
    <n v="2"/>
    <x v="0"/>
    <n v="82"/>
    <n v="2"/>
    <n v="1"/>
    <x v="1"/>
    <x v="3"/>
    <s v="Married"/>
    <n v="3419"/>
    <n v="13072"/>
    <n v="9"/>
    <s v="Y"/>
    <s v="Yes"/>
    <n v="14"/>
    <n v="3"/>
    <n v="4"/>
    <n v="80"/>
    <n v="1"/>
    <n v="6"/>
    <n v="3"/>
    <n v="4"/>
    <n v="1"/>
    <n v="1"/>
    <n v="0"/>
    <n v="0"/>
    <x v="1"/>
    <x v="0"/>
    <x v="1"/>
  </r>
  <r>
    <n v="33"/>
    <s v="No"/>
    <s v="Travel_Frequently"/>
    <n v="1141"/>
    <x v="0"/>
    <n v="1"/>
    <n v="3"/>
    <s v="Life Sciences"/>
    <n v="1"/>
    <n v="52"/>
    <n v="3"/>
    <x v="0"/>
    <n v="42"/>
    <n v="4"/>
    <n v="2"/>
    <x v="0"/>
    <x v="3"/>
    <s v="Married"/>
    <n v="5376"/>
    <n v="3193"/>
    <n v="2"/>
    <s v="Y"/>
    <s v="No"/>
    <n v="19"/>
    <n v="3"/>
    <n v="1"/>
    <n v="80"/>
    <n v="2"/>
    <n v="10"/>
    <n v="3"/>
    <n v="3"/>
    <n v="5"/>
    <n v="3"/>
    <n v="1"/>
    <n v="3"/>
    <x v="1"/>
    <x v="2"/>
    <x v="2"/>
  </r>
  <r>
    <n v="35"/>
    <s v="No"/>
    <s v="Travel_Rarely"/>
    <n v="464"/>
    <x v="1"/>
    <n v="4"/>
    <n v="2"/>
    <s v="Other"/>
    <n v="1"/>
    <n v="53"/>
    <n v="3"/>
    <x v="1"/>
    <n v="75"/>
    <n v="3"/>
    <n v="1"/>
    <x v="2"/>
    <x v="0"/>
    <s v="Divorced"/>
    <n v="1951"/>
    <n v="10910"/>
    <n v="1"/>
    <s v="Y"/>
    <s v="No"/>
    <n v="12"/>
    <n v="3"/>
    <n v="3"/>
    <n v="80"/>
    <n v="1"/>
    <n v="1"/>
    <n v="3"/>
    <n v="3"/>
    <n v="1"/>
    <n v="0"/>
    <n v="0"/>
    <n v="0"/>
    <x v="1"/>
    <x v="2"/>
    <x v="1"/>
  </r>
  <r>
    <n v="27"/>
    <s v="No"/>
    <s v="Travel_Rarely"/>
    <n v="1240"/>
    <x v="1"/>
    <n v="2"/>
    <n v="4"/>
    <s v="Life Sciences"/>
    <n v="1"/>
    <n v="54"/>
    <n v="4"/>
    <x v="0"/>
    <n v="33"/>
    <n v="3"/>
    <n v="1"/>
    <x v="2"/>
    <x v="3"/>
    <s v="Divorced"/>
    <n v="2341"/>
    <n v="19715"/>
    <n v="1"/>
    <s v="Y"/>
    <s v="No"/>
    <n v="13"/>
    <n v="3"/>
    <n v="4"/>
    <n v="80"/>
    <n v="1"/>
    <n v="1"/>
    <n v="6"/>
    <n v="3"/>
    <n v="1"/>
    <n v="0"/>
    <n v="0"/>
    <n v="0"/>
    <x v="1"/>
    <x v="2"/>
    <x v="1"/>
  </r>
  <r>
    <n v="26"/>
    <s v="Yes"/>
    <s v="Travel_Rarely"/>
    <n v="1357"/>
    <x v="1"/>
    <n v="25"/>
    <n v="3"/>
    <s v="Life Sciences"/>
    <n v="1"/>
    <n v="55"/>
    <n v="1"/>
    <x v="1"/>
    <n v="48"/>
    <n v="1"/>
    <n v="1"/>
    <x v="2"/>
    <x v="2"/>
    <s v="Single"/>
    <n v="2293"/>
    <n v="10558"/>
    <n v="1"/>
    <s v="Y"/>
    <s v="No"/>
    <n v="12"/>
    <n v="3"/>
    <n v="3"/>
    <n v="80"/>
    <n v="0"/>
    <n v="1"/>
    <n v="2"/>
    <n v="2"/>
    <n v="1"/>
    <n v="0"/>
    <n v="0"/>
    <n v="1"/>
    <x v="0"/>
    <x v="2"/>
    <x v="1"/>
  </r>
  <r>
    <n v="27"/>
    <s v="No"/>
    <s v="Travel_Frequently"/>
    <n v="994"/>
    <x v="0"/>
    <n v="8"/>
    <n v="3"/>
    <s v="Life Sciences"/>
    <n v="1"/>
    <n v="56"/>
    <n v="4"/>
    <x v="1"/>
    <n v="37"/>
    <n v="3"/>
    <n v="3"/>
    <x v="0"/>
    <x v="2"/>
    <s v="Single"/>
    <n v="8726"/>
    <n v="2975"/>
    <n v="1"/>
    <s v="Y"/>
    <s v="No"/>
    <n v="15"/>
    <n v="3"/>
    <n v="4"/>
    <n v="80"/>
    <n v="0"/>
    <n v="9"/>
    <n v="0"/>
    <n v="3"/>
    <n v="9"/>
    <n v="8"/>
    <n v="1"/>
    <n v="7"/>
    <x v="1"/>
    <x v="2"/>
    <x v="0"/>
  </r>
  <r>
    <n v="30"/>
    <s v="No"/>
    <s v="Travel_Frequently"/>
    <n v="721"/>
    <x v="1"/>
    <n v="1"/>
    <n v="2"/>
    <s v="Medical"/>
    <n v="1"/>
    <n v="57"/>
    <n v="3"/>
    <x v="0"/>
    <n v="58"/>
    <n v="3"/>
    <n v="2"/>
    <x v="2"/>
    <x v="0"/>
    <s v="Single"/>
    <n v="4011"/>
    <n v="10781"/>
    <n v="1"/>
    <s v="Y"/>
    <s v="No"/>
    <n v="23"/>
    <n v="4"/>
    <n v="4"/>
    <n v="80"/>
    <n v="0"/>
    <n v="12"/>
    <n v="2"/>
    <n v="3"/>
    <n v="12"/>
    <n v="8"/>
    <n v="3"/>
    <n v="7"/>
    <x v="1"/>
    <x v="2"/>
    <x v="3"/>
  </r>
  <r>
    <n v="41"/>
    <s v="Yes"/>
    <s v="Travel_Rarely"/>
    <n v="1360"/>
    <x v="1"/>
    <n v="12"/>
    <n v="3"/>
    <s v="Technical Degree"/>
    <n v="1"/>
    <n v="58"/>
    <n v="2"/>
    <x v="0"/>
    <n v="49"/>
    <n v="3"/>
    <n v="5"/>
    <x v="7"/>
    <x v="2"/>
    <s v="Married"/>
    <n v="19545"/>
    <n v="16280"/>
    <n v="1"/>
    <s v="Y"/>
    <s v="No"/>
    <n v="12"/>
    <n v="3"/>
    <n v="4"/>
    <n v="80"/>
    <n v="0"/>
    <n v="23"/>
    <n v="0"/>
    <n v="3"/>
    <n v="22"/>
    <n v="15"/>
    <n v="15"/>
    <n v="8"/>
    <x v="0"/>
    <x v="0"/>
    <x v="3"/>
  </r>
  <r>
    <n v="34"/>
    <s v="No"/>
    <s v="Non-Travel"/>
    <n v="1065"/>
    <x v="0"/>
    <n v="23"/>
    <n v="4"/>
    <s v="Marketing"/>
    <n v="1"/>
    <n v="60"/>
    <n v="2"/>
    <x v="1"/>
    <n v="72"/>
    <n v="3"/>
    <n v="2"/>
    <x v="0"/>
    <x v="2"/>
    <s v="Single"/>
    <n v="4568"/>
    <n v="10034"/>
    <n v="0"/>
    <s v="Y"/>
    <s v="No"/>
    <n v="20"/>
    <n v="4"/>
    <n v="3"/>
    <n v="80"/>
    <n v="0"/>
    <n v="10"/>
    <n v="2"/>
    <n v="3"/>
    <n v="9"/>
    <n v="5"/>
    <n v="8"/>
    <n v="7"/>
    <x v="1"/>
    <x v="2"/>
    <x v="0"/>
  </r>
  <r>
    <n v="37"/>
    <s v="No"/>
    <s v="Travel_Rarely"/>
    <n v="408"/>
    <x v="1"/>
    <n v="19"/>
    <n v="2"/>
    <s v="Life Sciences"/>
    <n v="1"/>
    <n v="61"/>
    <n v="2"/>
    <x v="1"/>
    <n v="73"/>
    <n v="3"/>
    <n v="1"/>
    <x v="1"/>
    <x v="1"/>
    <s v="Married"/>
    <n v="3022"/>
    <n v="10227"/>
    <n v="4"/>
    <s v="Y"/>
    <s v="No"/>
    <n v="21"/>
    <n v="4"/>
    <n v="1"/>
    <n v="80"/>
    <n v="0"/>
    <n v="8"/>
    <n v="1"/>
    <n v="3"/>
    <n v="1"/>
    <n v="0"/>
    <n v="0"/>
    <n v="0"/>
    <x v="1"/>
    <x v="0"/>
    <x v="1"/>
  </r>
  <r>
    <n v="46"/>
    <s v="No"/>
    <s v="Travel_Frequently"/>
    <n v="1211"/>
    <x v="0"/>
    <n v="5"/>
    <n v="4"/>
    <s v="Marketing"/>
    <n v="1"/>
    <n v="62"/>
    <n v="1"/>
    <x v="1"/>
    <n v="98"/>
    <n v="3"/>
    <n v="2"/>
    <x v="0"/>
    <x v="0"/>
    <s v="Single"/>
    <n v="5772"/>
    <n v="20445"/>
    <n v="4"/>
    <s v="Y"/>
    <s v="Yes"/>
    <n v="21"/>
    <n v="4"/>
    <n v="3"/>
    <n v="80"/>
    <n v="0"/>
    <n v="14"/>
    <n v="4"/>
    <n v="3"/>
    <n v="9"/>
    <n v="6"/>
    <n v="0"/>
    <n v="8"/>
    <x v="1"/>
    <x v="1"/>
    <x v="0"/>
  </r>
  <r>
    <n v="35"/>
    <s v="No"/>
    <s v="Travel_Rarely"/>
    <n v="1229"/>
    <x v="1"/>
    <n v="8"/>
    <n v="1"/>
    <s v="Life Sciences"/>
    <n v="1"/>
    <n v="63"/>
    <n v="4"/>
    <x v="1"/>
    <n v="36"/>
    <n v="4"/>
    <n v="1"/>
    <x v="2"/>
    <x v="0"/>
    <s v="Married"/>
    <n v="2269"/>
    <n v="4892"/>
    <n v="1"/>
    <s v="Y"/>
    <s v="No"/>
    <n v="19"/>
    <n v="3"/>
    <n v="4"/>
    <n v="80"/>
    <n v="0"/>
    <n v="1"/>
    <n v="2"/>
    <n v="3"/>
    <n v="1"/>
    <n v="0"/>
    <n v="0"/>
    <n v="1"/>
    <x v="1"/>
    <x v="2"/>
    <x v="1"/>
  </r>
  <r>
    <n v="48"/>
    <s v="Yes"/>
    <s v="Travel_Rarely"/>
    <n v="626"/>
    <x v="1"/>
    <n v="1"/>
    <n v="2"/>
    <s v="Life Sciences"/>
    <n v="1"/>
    <n v="64"/>
    <n v="1"/>
    <x v="1"/>
    <n v="98"/>
    <n v="2"/>
    <n v="3"/>
    <x v="2"/>
    <x v="2"/>
    <s v="Single"/>
    <n v="5381"/>
    <n v="19294"/>
    <n v="9"/>
    <s v="Y"/>
    <s v="Yes"/>
    <n v="13"/>
    <n v="3"/>
    <n v="4"/>
    <n v="80"/>
    <n v="0"/>
    <n v="23"/>
    <n v="2"/>
    <n v="3"/>
    <n v="1"/>
    <n v="0"/>
    <n v="0"/>
    <n v="0"/>
    <x v="0"/>
    <x v="1"/>
    <x v="1"/>
  </r>
  <r>
    <n v="28"/>
    <s v="Yes"/>
    <s v="Travel_Rarely"/>
    <n v="1434"/>
    <x v="1"/>
    <n v="5"/>
    <n v="4"/>
    <s v="Technical Degree"/>
    <n v="1"/>
    <n v="65"/>
    <n v="3"/>
    <x v="1"/>
    <n v="50"/>
    <n v="3"/>
    <n v="1"/>
    <x v="2"/>
    <x v="2"/>
    <s v="Single"/>
    <n v="3441"/>
    <n v="11179"/>
    <n v="1"/>
    <s v="Y"/>
    <s v="Yes"/>
    <n v="13"/>
    <n v="3"/>
    <n v="3"/>
    <n v="80"/>
    <n v="0"/>
    <n v="2"/>
    <n v="3"/>
    <n v="2"/>
    <n v="2"/>
    <n v="2"/>
    <n v="2"/>
    <n v="2"/>
    <x v="0"/>
    <x v="2"/>
    <x v="1"/>
  </r>
  <r>
    <n v="44"/>
    <s v="No"/>
    <s v="Travel_Rarely"/>
    <n v="1488"/>
    <x v="0"/>
    <n v="1"/>
    <n v="5"/>
    <s v="Marketing"/>
    <n v="1"/>
    <n v="68"/>
    <n v="2"/>
    <x v="0"/>
    <n v="75"/>
    <n v="3"/>
    <n v="2"/>
    <x v="0"/>
    <x v="3"/>
    <s v="Divorced"/>
    <n v="5454"/>
    <n v="4009"/>
    <n v="5"/>
    <s v="Y"/>
    <s v="Yes"/>
    <n v="21"/>
    <n v="4"/>
    <n v="3"/>
    <n v="80"/>
    <n v="1"/>
    <n v="9"/>
    <n v="2"/>
    <n v="2"/>
    <n v="4"/>
    <n v="3"/>
    <n v="1"/>
    <n v="3"/>
    <x v="1"/>
    <x v="0"/>
    <x v="2"/>
  </r>
  <r>
    <n v="35"/>
    <s v="No"/>
    <s v="Non-Travel"/>
    <n v="1097"/>
    <x v="1"/>
    <n v="11"/>
    <n v="2"/>
    <s v="Medical"/>
    <n v="1"/>
    <n v="70"/>
    <n v="3"/>
    <x v="1"/>
    <n v="79"/>
    <n v="2"/>
    <n v="3"/>
    <x v="4"/>
    <x v="3"/>
    <s v="Married"/>
    <n v="9884"/>
    <n v="8302"/>
    <n v="2"/>
    <s v="Y"/>
    <s v="Yes"/>
    <n v="13"/>
    <n v="3"/>
    <n v="3"/>
    <n v="80"/>
    <n v="1"/>
    <n v="10"/>
    <n v="3"/>
    <n v="3"/>
    <n v="4"/>
    <n v="0"/>
    <n v="2"/>
    <n v="3"/>
    <x v="1"/>
    <x v="2"/>
    <x v="2"/>
  </r>
  <r>
    <n v="26"/>
    <s v="No"/>
    <s v="Travel_Rarely"/>
    <n v="1443"/>
    <x v="0"/>
    <n v="23"/>
    <n v="3"/>
    <s v="Marketing"/>
    <n v="1"/>
    <n v="72"/>
    <n v="3"/>
    <x v="0"/>
    <n v="47"/>
    <n v="2"/>
    <n v="2"/>
    <x v="0"/>
    <x v="0"/>
    <s v="Married"/>
    <n v="4157"/>
    <n v="21436"/>
    <n v="7"/>
    <s v="Y"/>
    <s v="Yes"/>
    <n v="19"/>
    <n v="3"/>
    <n v="3"/>
    <n v="80"/>
    <n v="1"/>
    <n v="5"/>
    <n v="2"/>
    <n v="2"/>
    <n v="2"/>
    <n v="2"/>
    <n v="0"/>
    <n v="0"/>
    <x v="1"/>
    <x v="2"/>
    <x v="1"/>
  </r>
  <r>
    <n v="33"/>
    <s v="No"/>
    <s v="Travel_Frequently"/>
    <n v="515"/>
    <x v="1"/>
    <n v="1"/>
    <n v="2"/>
    <s v="Life Sciences"/>
    <n v="1"/>
    <n v="73"/>
    <n v="1"/>
    <x v="0"/>
    <n v="98"/>
    <n v="3"/>
    <n v="3"/>
    <x v="7"/>
    <x v="0"/>
    <s v="Single"/>
    <n v="13458"/>
    <n v="15146"/>
    <n v="1"/>
    <s v="Y"/>
    <s v="Yes"/>
    <n v="12"/>
    <n v="3"/>
    <n v="3"/>
    <n v="80"/>
    <n v="0"/>
    <n v="15"/>
    <n v="1"/>
    <n v="3"/>
    <n v="15"/>
    <n v="14"/>
    <n v="8"/>
    <n v="12"/>
    <x v="1"/>
    <x v="2"/>
    <x v="3"/>
  </r>
  <r>
    <n v="35"/>
    <s v="No"/>
    <s v="Travel_Frequently"/>
    <n v="853"/>
    <x v="0"/>
    <n v="18"/>
    <n v="5"/>
    <s v="Life Sciences"/>
    <n v="1"/>
    <n v="74"/>
    <n v="2"/>
    <x v="1"/>
    <n v="71"/>
    <n v="3"/>
    <n v="3"/>
    <x v="0"/>
    <x v="3"/>
    <s v="Married"/>
    <n v="9069"/>
    <n v="11031"/>
    <n v="1"/>
    <s v="Y"/>
    <s v="No"/>
    <n v="22"/>
    <n v="4"/>
    <n v="4"/>
    <n v="80"/>
    <n v="1"/>
    <n v="9"/>
    <n v="3"/>
    <n v="2"/>
    <n v="9"/>
    <n v="8"/>
    <n v="1"/>
    <n v="8"/>
    <x v="1"/>
    <x v="2"/>
    <x v="0"/>
  </r>
  <r>
    <n v="35"/>
    <s v="No"/>
    <s v="Travel_Rarely"/>
    <n v="1142"/>
    <x v="1"/>
    <n v="23"/>
    <n v="4"/>
    <s v="Medical"/>
    <n v="1"/>
    <n v="75"/>
    <n v="3"/>
    <x v="0"/>
    <n v="30"/>
    <n v="3"/>
    <n v="1"/>
    <x v="2"/>
    <x v="3"/>
    <s v="Married"/>
    <n v="4014"/>
    <n v="16002"/>
    <n v="3"/>
    <s v="Y"/>
    <s v="Yes"/>
    <n v="15"/>
    <n v="3"/>
    <n v="3"/>
    <n v="80"/>
    <n v="1"/>
    <n v="4"/>
    <n v="3"/>
    <n v="3"/>
    <n v="2"/>
    <n v="2"/>
    <n v="2"/>
    <n v="2"/>
    <x v="1"/>
    <x v="2"/>
    <x v="1"/>
  </r>
  <r>
    <n v="31"/>
    <s v="No"/>
    <s v="Travel_Rarely"/>
    <n v="655"/>
    <x v="1"/>
    <n v="7"/>
    <n v="4"/>
    <s v="Life Sciences"/>
    <n v="1"/>
    <n v="76"/>
    <n v="4"/>
    <x v="1"/>
    <n v="48"/>
    <n v="3"/>
    <n v="2"/>
    <x v="2"/>
    <x v="0"/>
    <s v="Divorced"/>
    <n v="5915"/>
    <n v="9528"/>
    <n v="3"/>
    <s v="Y"/>
    <s v="No"/>
    <n v="22"/>
    <n v="4"/>
    <n v="4"/>
    <n v="80"/>
    <n v="1"/>
    <n v="10"/>
    <n v="3"/>
    <n v="2"/>
    <n v="7"/>
    <n v="7"/>
    <n v="1"/>
    <n v="7"/>
    <x v="1"/>
    <x v="2"/>
    <x v="0"/>
  </r>
  <r>
    <n v="37"/>
    <s v="No"/>
    <s v="Travel_Rarely"/>
    <n v="1115"/>
    <x v="1"/>
    <n v="1"/>
    <n v="4"/>
    <s v="Life Sciences"/>
    <n v="1"/>
    <n v="77"/>
    <n v="1"/>
    <x v="1"/>
    <n v="51"/>
    <n v="2"/>
    <n v="2"/>
    <x v="3"/>
    <x v="2"/>
    <s v="Divorced"/>
    <n v="5993"/>
    <n v="2689"/>
    <n v="1"/>
    <s v="Y"/>
    <s v="No"/>
    <n v="18"/>
    <n v="3"/>
    <n v="3"/>
    <n v="80"/>
    <n v="1"/>
    <n v="7"/>
    <n v="2"/>
    <n v="4"/>
    <n v="7"/>
    <n v="5"/>
    <n v="0"/>
    <n v="7"/>
    <x v="1"/>
    <x v="0"/>
    <x v="0"/>
  </r>
  <r>
    <n v="32"/>
    <s v="No"/>
    <s v="Travel_Rarely"/>
    <n v="427"/>
    <x v="1"/>
    <n v="1"/>
    <n v="3"/>
    <s v="Medical"/>
    <n v="1"/>
    <n v="78"/>
    <n v="1"/>
    <x v="1"/>
    <n v="33"/>
    <n v="3"/>
    <n v="2"/>
    <x v="3"/>
    <x v="0"/>
    <s v="Married"/>
    <n v="6162"/>
    <n v="10877"/>
    <n v="1"/>
    <s v="Y"/>
    <s v="Yes"/>
    <n v="22"/>
    <n v="4"/>
    <n v="2"/>
    <n v="80"/>
    <n v="1"/>
    <n v="9"/>
    <n v="3"/>
    <n v="3"/>
    <n v="9"/>
    <n v="8"/>
    <n v="7"/>
    <n v="8"/>
    <x v="1"/>
    <x v="2"/>
    <x v="0"/>
  </r>
  <r>
    <n v="38"/>
    <s v="No"/>
    <s v="Travel_Frequently"/>
    <n v="653"/>
    <x v="1"/>
    <n v="29"/>
    <n v="5"/>
    <s v="Life Sciences"/>
    <n v="1"/>
    <n v="79"/>
    <n v="4"/>
    <x v="0"/>
    <n v="50"/>
    <n v="3"/>
    <n v="2"/>
    <x v="2"/>
    <x v="0"/>
    <s v="Single"/>
    <n v="2406"/>
    <n v="5456"/>
    <n v="1"/>
    <s v="Y"/>
    <s v="No"/>
    <n v="11"/>
    <n v="3"/>
    <n v="4"/>
    <n v="80"/>
    <n v="0"/>
    <n v="10"/>
    <n v="2"/>
    <n v="3"/>
    <n v="10"/>
    <n v="3"/>
    <n v="9"/>
    <n v="9"/>
    <x v="1"/>
    <x v="0"/>
    <x v="0"/>
  </r>
  <r>
    <n v="50"/>
    <s v="No"/>
    <s v="Travel_Rarely"/>
    <n v="989"/>
    <x v="1"/>
    <n v="7"/>
    <n v="2"/>
    <s v="Medical"/>
    <n v="1"/>
    <n v="80"/>
    <n v="2"/>
    <x v="0"/>
    <n v="43"/>
    <n v="2"/>
    <n v="5"/>
    <x v="7"/>
    <x v="2"/>
    <s v="Divorced"/>
    <n v="18740"/>
    <n v="16701"/>
    <n v="5"/>
    <s v="Y"/>
    <s v="Yes"/>
    <n v="12"/>
    <n v="3"/>
    <n v="4"/>
    <n v="80"/>
    <n v="1"/>
    <n v="29"/>
    <n v="2"/>
    <n v="2"/>
    <n v="27"/>
    <n v="3"/>
    <n v="13"/>
    <n v="8"/>
    <x v="1"/>
    <x v="1"/>
    <x v="3"/>
  </r>
  <r>
    <n v="59"/>
    <s v="No"/>
    <s v="Travel_Rarely"/>
    <n v="1435"/>
    <x v="0"/>
    <n v="25"/>
    <n v="3"/>
    <s v="Life Sciences"/>
    <n v="1"/>
    <n v="81"/>
    <n v="1"/>
    <x v="0"/>
    <n v="99"/>
    <n v="3"/>
    <n v="3"/>
    <x v="0"/>
    <x v="3"/>
    <s v="Single"/>
    <n v="7637"/>
    <n v="2354"/>
    <n v="7"/>
    <s v="Y"/>
    <s v="No"/>
    <n v="11"/>
    <n v="3"/>
    <n v="4"/>
    <n v="80"/>
    <n v="0"/>
    <n v="28"/>
    <n v="3"/>
    <n v="2"/>
    <n v="21"/>
    <n v="16"/>
    <n v="7"/>
    <n v="9"/>
    <x v="1"/>
    <x v="1"/>
    <x v="3"/>
  </r>
  <r>
    <n v="36"/>
    <s v="No"/>
    <s v="Travel_Rarely"/>
    <n v="1223"/>
    <x v="1"/>
    <n v="8"/>
    <n v="3"/>
    <s v="Technical Degree"/>
    <n v="1"/>
    <n v="83"/>
    <n v="3"/>
    <x v="0"/>
    <n v="59"/>
    <n v="3"/>
    <n v="3"/>
    <x v="4"/>
    <x v="2"/>
    <s v="Divorced"/>
    <n v="10096"/>
    <n v="8202"/>
    <n v="1"/>
    <s v="Y"/>
    <s v="No"/>
    <n v="13"/>
    <n v="3"/>
    <n v="2"/>
    <n v="80"/>
    <n v="3"/>
    <n v="17"/>
    <n v="2"/>
    <n v="3"/>
    <n v="17"/>
    <n v="14"/>
    <n v="12"/>
    <n v="8"/>
    <x v="1"/>
    <x v="0"/>
    <x v="3"/>
  </r>
  <r>
    <n v="55"/>
    <s v="No"/>
    <s v="Travel_Rarely"/>
    <n v="836"/>
    <x v="1"/>
    <n v="8"/>
    <n v="3"/>
    <s v="Medical"/>
    <n v="1"/>
    <n v="84"/>
    <n v="4"/>
    <x v="0"/>
    <n v="33"/>
    <n v="3"/>
    <n v="4"/>
    <x v="5"/>
    <x v="2"/>
    <s v="Divorced"/>
    <n v="14756"/>
    <n v="19730"/>
    <n v="2"/>
    <s v="Y"/>
    <s v="Yes"/>
    <n v="14"/>
    <n v="3"/>
    <n v="3"/>
    <n v="80"/>
    <n v="3"/>
    <n v="21"/>
    <n v="2"/>
    <n v="3"/>
    <n v="5"/>
    <n v="0"/>
    <n v="0"/>
    <n v="2"/>
    <x v="1"/>
    <x v="1"/>
    <x v="2"/>
  </r>
  <r>
    <n v="36"/>
    <s v="No"/>
    <s v="Travel_Frequently"/>
    <n v="1195"/>
    <x v="1"/>
    <n v="11"/>
    <n v="3"/>
    <s v="Life Sciences"/>
    <n v="1"/>
    <n v="85"/>
    <n v="2"/>
    <x v="1"/>
    <n v="95"/>
    <n v="2"/>
    <n v="2"/>
    <x v="3"/>
    <x v="1"/>
    <s v="Single"/>
    <n v="6499"/>
    <n v="22656"/>
    <n v="1"/>
    <s v="Y"/>
    <s v="No"/>
    <n v="13"/>
    <n v="3"/>
    <n v="3"/>
    <n v="80"/>
    <n v="0"/>
    <n v="6"/>
    <n v="3"/>
    <n v="3"/>
    <n v="6"/>
    <n v="5"/>
    <n v="0"/>
    <n v="3"/>
    <x v="1"/>
    <x v="0"/>
    <x v="0"/>
  </r>
  <r>
    <n v="45"/>
    <s v="No"/>
    <s v="Travel_Rarely"/>
    <n v="1339"/>
    <x v="1"/>
    <n v="7"/>
    <n v="3"/>
    <s v="Life Sciences"/>
    <n v="1"/>
    <n v="86"/>
    <n v="2"/>
    <x v="1"/>
    <n v="59"/>
    <n v="3"/>
    <n v="3"/>
    <x v="1"/>
    <x v="3"/>
    <s v="Divorced"/>
    <n v="9724"/>
    <n v="18787"/>
    <n v="2"/>
    <s v="Y"/>
    <s v="No"/>
    <n v="17"/>
    <n v="3"/>
    <n v="3"/>
    <n v="80"/>
    <n v="1"/>
    <n v="25"/>
    <n v="2"/>
    <n v="3"/>
    <n v="1"/>
    <n v="0"/>
    <n v="0"/>
    <n v="0"/>
    <x v="1"/>
    <x v="0"/>
    <x v="1"/>
  </r>
  <r>
    <n v="35"/>
    <s v="No"/>
    <s v="Travel_Frequently"/>
    <n v="664"/>
    <x v="1"/>
    <n v="1"/>
    <n v="3"/>
    <s v="Medical"/>
    <n v="1"/>
    <n v="88"/>
    <n v="2"/>
    <x v="1"/>
    <n v="79"/>
    <n v="3"/>
    <n v="1"/>
    <x v="1"/>
    <x v="3"/>
    <s v="Married"/>
    <n v="2194"/>
    <n v="5868"/>
    <n v="4"/>
    <s v="Y"/>
    <s v="No"/>
    <n v="13"/>
    <n v="3"/>
    <n v="4"/>
    <n v="80"/>
    <n v="1"/>
    <n v="5"/>
    <n v="2"/>
    <n v="2"/>
    <n v="3"/>
    <n v="2"/>
    <n v="1"/>
    <n v="2"/>
    <x v="1"/>
    <x v="2"/>
    <x v="2"/>
  </r>
  <r>
    <n v="36"/>
    <s v="Yes"/>
    <s v="Travel_Rarely"/>
    <n v="318"/>
    <x v="1"/>
    <n v="9"/>
    <n v="3"/>
    <s v="Medical"/>
    <n v="1"/>
    <n v="90"/>
    <n v="4"/>
    <x v="1"/>
    <n v="79"/>
    <n v="2"/>
    <n v="1"/>
    <x v="1"/>
    <x v="2"/>
    <s v="Married"/>
    <n v="3388"/>
    <n v="21777"/>
    <n v="0"/>
    <s v="Y"/>
    <s v="Yes"/>
    <n v="17"/>
    <n v="3"/>
    <n v="1"/>
    <n v="80"/>
    <n v="1"/>
    <n v="2"/>
    <n v="0"/>
    <n v="2"/>
    <n v="1"/>
    <n v="0"/>
    <n v="0"/>
    <n v="0"/>
    <x v="0"/>
    <x v="0"/>
    <x v="1"/>
  </r>
  <r>
    <n v="59"/>
    <s v="No"/>
    <s v="Travel_Frequently"/>
    <n v="1225"/>
    <x v="0"/>
    <n v="1"/>
    <n v="1"/>
    <s v="Life Sciences"/>
    <n v="1"/>
    <n v="91"/>
    <n v="1"/>
    <x v="0"/>
    <n v="57"/>
    <n v="2"/>
    <n v="2"/>
    <x v="0"/>
    <x v="2"/>
    <s v="Single"/>
    <n v="5473"/>
    <n v="24668"/>
    <n v="7"/>
    <s v="Y"/>
    <s v="No"/>
    <n v="11"/>
    <n v="3"/>
    <n v="4"/>
    <n v="80"/>
    <n v="0"/>
    <n v="20"/>
    <n v="2"/>
    <n v="2"/>
    <n v="4"/>
    <n v="3"/>
    <n v="1"/>
    <n v="3"/>
    <x v="1"/>
    <x v="1"/>
    <x v="2"/>
  </r>
  <r>
    <n v="29"/>
    <s v="No"/>
    <s v="Travel_Rarely"/>
    <n v="1328"/>
    <x v="1"/>
    <n v="2"/>
    <n v="3"/>
    <s v="Life Sciences"/>
    <n v="1"/>
    <n v="94"/>
    <n v="3"/>
    <x v="1"/>
    <n v="76"/>
    <n v="3"/>
    <n v="1"/>
    <x v="1"/>
    <x v="1"/>
    <s v="Married"/>
    <n v="2703"/>
    <n v="4956"/>
    <n v="0"/>
    <s v="Y"/>
    <s v="No"/>
    <n v="23"/>
    <n v="4"/>
    <n v="4"/>
    <n v="80"/>
    <n v="1"/>
    <n v="6"/>
    <n v="3"/>
    <n v="3"/>
    <n v="5"/>
    <n v="4"/>
    <n v="0"/>
    <n v="4"/>
    <x v="1"/>
    <x v="2"/>
    <x v="2"/>
  </r>
  <r>
    <n v="31"/>
    <s v="No"/>
    <s v="Travel_Rarely"/>
    <n v="1082"/>
    <x v="1"/>
    <n v="1"/>
    <n v="4"/>
    <s v="Medical"/>
    <n v="1"/>
    <n v="95"/>
    <n v="3"/>
    <x v="1"/>
    <n v="87"/>
    <n v="3"/>
    <n v="1"/>
    <x v="1"/>
    <x v="1"/>
    <s v="Single"/>
    <n v="2501"/>
    <n v="18775"/>
    <n v="1"/>
    <s v="Y"/>
    <s v="No"/>
    <n v="17"/>
    <n v="3"/>
    <n v="2"/>
    <n v="80"/>
    <n v="0"/>
    <n v="1"/>
    <n v="4"/>
    <n v="3"/>
    <n v="1"/>
    <n v="1"/>
    <n v="1"/>
    <n v="0"/>
    <x v="1"/>
    <x v="2"/>
    <x v="1"/>
  </r>
  <r>
    <n v="32"/>
    <s v="No"/>
    <s v="Travel_Rarely"/>
    <n v="548"/>
    <x v="1"/>
    <n v="1"/>
    <n v="3"/>
    <s v="Life Sciences"/>
    <n v="1"/>
    <n v="96"/>
    <n v="2"/>
    <x v="1"/>
    <n v="66"/>
    <n v="3"/>
    <n v="2"/>
    <x v="1"/>
    <x v="1"/>
    <s v="Married"/>
    <n v="6220"/>
    <n v="7346"/>
    <n v="1"/>
    <s v="Y"/>
    <s v="No"/>
    <n v="17"/>
    <n v="3"/>
    <n v="2"/>
    <n v="80"/>
    <n v="2"/>
    <n v="10"/>
    <n v="3"/>
    <n v="3"/>
    <n v="10"/>
    <n v="4"/>
    <n v="0"/>
    <n v="9"/>
    <x v="1"/>
    <x v="2"/>
    <x v="0"/>
  </r>
  <r>
    <n v="36"/>
    <s v="No"/>
    <s v="Travel_Rarely"/>
    <n v="132"/>
    <x v="1"/>
    <n v="6"/>
    <n v="3"/>
    <s v="Life Sciences"/>
    <n v="1"/>
    <n v="97"/>
    <n v="2"/>
    <x v="0"/>
    <n v="55"/>
    <n v="4"/>
    <n v="1"/>
    <x v="2"/>
    <x v="0"/>
    <s v="Married"/>
    <n v="3038"/>
    <n v="22002"/>
    <n v="3"/>
    <s v="Y"/>
    <s v="No"/>
    <n v="12"/>
    <n v="3"/>
    <n v="2"/>
    <n v="80"/>
    <n v="0"/>
    <n v="5"/>
    <n v="3"/>
    <n v="3"/>
    <n v="1"/>
    <n v="0"/>
    <n v="0"/>
    <n v="0"/>
    <x v="1"/>
    <x v="0"/>
    <x v="1"/>
  </r>
  <r>
    <n v="31"/>
    <s v="No"/>
    <s v="Travel_Rarely"/>
    <n v="746"/>
    <x v="1"/>
    <n v="8"/>
    <n v="4"/>
    <s v="Life Sciences"/>
    <n v="1"/>
    <n v="98"/>
    <n v="3"/>
    <x v="0"/>
    <n v="61"/>
    <n v="3"/>
    <n v="2"/>
    <x v="3"/>
    <x v="0"/>
    <s v="Single"/>
    <n v="4424"/>
    <n v="20682"/>
    <n v="1"/>
    <s v="Y"/>
    <s v="No"/>
    <n v="23"/>
    <n v="4"/>
    <n v="4"/>
    <n v="80"/>
    <n v="0"/>
    <n v="11"/>
    <n v="2"/>
    <n v="3"/>
    <n v="11"/>
    <n v="7"/>
    <n v="1"/>
    <n v="8"/>
    <x v="1"/>
    <x v="2"/>
    <x v="3"/>
  </r>
  <r>
    <n v="35"/>
    <s v="No"/>
    <s v="Travel_Rarely"/>
    <n v="776"/>
    <x v="0"/>
    <n v="1"/>
    <n v="4"/>
    <s v="Marketing"/>
    <n v="1"/>
    <n v="100"/>
    <n v="3"/>
    <x v="1"/>
    <n v="32"/>
    <n v="2"/>
    <n v="2"/>
    <x v="0"/>
    <x v="3"/>
    <s v="Single"/>
    <n v="4312"/>
    <n v="23016"/>
    <n v="0"/>
    <s v="Y"/>
    <s v="No"/>
    <n v="14"/>
    <n v="3"/>
    <n v="2"/>
    <n v="80"/>
    <n v="0"/>
    <n v="16"/>
    <n v="2"/>
    <n v="3"/>
    <n v="15"/>
    <n v="13"/>
    <n v="2"/>
    <n v="8"/>
    <x v="1"/>
    <x v="2"/>
    <x v="3"/>
  </r>
  <r>
    <n v="45"/>
    <s v="No"/>
    <s v="Travel_Rarely"/>
    <n v="193"/>
    <x v="1"/>
    <n v="6"/>
    <n v="4"/>
    <s v="Other"/>
    <n v="1"/>
    <n v="101"/>
    <n v="4"/>
    <x v="1"/>
    <n v="52"/>
    <n v="3"/>
    <n v="3"/>
    <x v="7"/>
    <x v="3"/>
    <s v="Married"/>
    <n v="13245"/>
    <n v="15067"/>
    <n v="4"/>
    <s v="Y"/>
    <s v="Yes"/>
    <n v="14"/>
    <n v="3"/>
    <n v="2"/>
    <n v="80"/>
    <n v="0"/>
    <n v="17"/>
    <n v="3"/>
    <n v="4"/>
    <n v="0"/>
    <n v="0"/>
    <n v="0"/>
    <n v="0"/>
    <x v="1"/>
    <x v="0"/>
    <x v="1"/>
  </r>
  <r>
    <n v="37"/>
    <s v="No"/>
    <s v="Travel_Rarely"/>
    <n v="397"/>
    <x v="1"/>
    <n v="7"/>
    <n v="4"/>
    <s v="Medical"/>
    <n v="1"/>
    <n v="102"/>
    <n v="1"/>
    <x v="1"/>
    <n v="30"/>
    <n v="3"/>
    <n v="3"/>
    <x v="7"/>
    <x v="2"/>
    <s v="Single"/>
    <n v="13664"/>
    <n v="25258"/>
    <n v="4"/>
    <s v="Y"/>
    <s v="No"/>
    <n v="13"/>
    <n v="3"/>
    <n v="1"/>
    <n v="80"/>
    <n v="0"/>
    <n v="16"/>
    <n v="3"/>
    <n v="4"/>
    <n v="5"/>
    <n v="2"/>
    <n v="0"/>
    <n v="2"/>
    <x v="1"/>
    <x v="0"/>
    <x v="2"/>
  </r>
  <r>
    <n v="46"/>
    <s v="No"/>
    <s v="Travel_Rarely"/>
    <n v="945"/>
    <x v="2"/>
    <n v="5"/>
    <n v="2"/>
    <s v="Medical"/>
    <n v="1"/>
    <n v="103"/>
    <n v="2"/>
    <x v="1"/>
    <n v="80"/>
    <n v="3"/>
    <n v="2"/>
    <x v="8"/>
    <x v="1"/>
    <s v="Divorced"/>
    <n v="5021"/>
    <n v="10425"/>
    <n v="8"/>
    <s v="Y"/>
    <s v="Yes"/>
    <n v="22"/>
    <n v="4"/>
    <n v="4"/>
    <n v="80"/>
    <n v="1"/>
    <n v="16"/>
    <n v="2"/>
    <n v="3"/>
    <n v="4"/>
    <n v="2"/>
    <n v="0"/>
    <n v="2"/>
    <x v="1"/>
    <x v="1"/>
    <x v="2"/>
  </r>
  <r>
    <n v="30"/>
    <s v="No"/>
    <s v="Travel_Rarely"/>
    <n v="852"/>
    <x v="1"/>
    <n v="1"/>
    <n v="1"/>
    <s v="Life Sciences"/>
    <n v="1"/>
    <n v="104"/>
    <n v="4"/>
    <x v="1"/>
    <n v="55"/>
    <n v="2"/>
    <n v="2"/>
    <x v="2"/>
    <x v="0"/>
    <s v="Married"/>
    <n v="5126"/>
    <n v="15998"/>
    <n v="1"/>
    <s v="Y"/>
    <s v="Yes"/>
    <n v="12"/>
    <n v="3"/>
    <n v="3"/>
    <n v="80"/>
    <n v="2"/>
    <n v="10"/>
    <n v="1"/>
    <n v="2"/>
    <n v="10"/>
    <n v="8"/>
    <n v="3"/>
    <n v="0"/>
    <x v="1"/>
    <x v="2"/>
    <x v="0"/>
  </r>
  <r>
    <n v="35"/>
    <s v="No"/>
    <s v="Travel_Rarely"/>
    <n v="1214"/>
    <x v="1"/>
    <n v="1"/>
    <n v="3"/>
    <s v="Medical"/>
    <n v="1"/>
    <n v="105"/>
    <n v="2"/>
    <x v="1"/>
    <n v="30"/>
    <n v="2"/>
    <n v="1"/>
    <x v="1"/>
    <x v="2"/>
    <s v="Single"/>
    <n v="2859"/>
    <n v="26278"/>
    <n v="1"/>
    <s v="Y"/>
    <s v="No"/>
    <n v="18"/>
    <n v="3"/>
    <n v="1"/>
    <n v="80"/>
    <n v="0"/>
    <n v="6"/>
    <n v="3"/>
    <n v="3"/>
    <n v="6"/>
    <n v="4"/>
    <n v="0"/>
    <n v="4"/>
    <x v="1"/>
    <x v="2"/>
    <x v="0"/>
  </r>
  <r>
    <n v="55"/>
    <s v="No"/>
    <s v="Travel_Rarely"/>
    <n v="111"/>
    <x v="0"/>
    <n v="1"/>
    <n v="2"/>
    <s v="Life Sciences"/>
    <n v="1"/>
    <n v="106"/>
    <n v="1"/>
    <x v="1"/>
    <n v="70"/>
    <n v="3"/>
    <n v="3"/>
    <x v="0"/>
    <x v="0"/>
    <s v="Married"/>
    <n v="10239"/>
    <n v="18092"/>
    <n v="3"/>
    <s v="Y"/>
    <s v="No"/>
    <n v="14"/>
    <n v="3"/>
    <n v="4"/>
    <n v="80"/>
    <n v="1"/>
    <n v="24"/>
    <n v="4"/>
    <n v="3"/>
    <n v="1"/>
    <n v="0"/>
    <n v="1"/>
    <n v="0"/>
    <x v="1"/>
    <x v="1"/>
    <x v="1"/>
  </r>
  <r>
    <n v="38"/>
    <s v="No"/>
    <s v="Non-Travel"/>
    <n v="573"/>
    <x v="1"/>
    <n v="6"/>
    <n v="3"/>
    <s v="Medical"/>
    <n v="1"/>
    <n v="107"/>
    <n v="2"/>
    <x v="0"/>
    <n v="79"/>
    <n v="1"/>
    <n v="2"/>
    <x v="1"/>
    <x v="0"/>
    <s v="Divorced"/>
    <n v="5329"/>
    <n v="15717"/>
    <n v="7"/>
    <s v="Y"/>
    <s v="Yes"/>
    <n v="12"/>
    <n v="3"/>
    <n v="4"/>
    <n v="80"/>
    <n v="3"/>
    <n v="17"/>
    <n v="3"/>
    <n v="3"/>
    <n v="13"/>
    <n v="11"/>
    <n v="1"/>
    <n v="9"/>
    <x v="1"/>
    <x v="0"/>
    <x v="3"/>
  </r>
  <r>
    <n v="34"/>
    <s v="No"/>
    <s v="Travel_Rarely"/>
    <n v="1153"/>
    <x v="1"/>
    <n v="1"/>
    <n v="2"/>
    <s v="Medical"/>
    <n v="1"/>
    <n v="110"/>
    <n v="1"/>
    <x v="1"/>
    <n v="94"/>
    <n v="3"/>
    <n v="2"/>
    <x v="3"/>
    <x v="1"/>
    <s v="Married"/>
    <n v="4325"/>
    <n v="17736"/>
    <n v="1"/>
    <s v="Y"/>
    <s v="No"/>
    <n v="15"/>
    <n v="3"/>
    <n v="3"/>
    <n v="80"/>
    <n v="0"/>
    <n v="5"/>
    <n v="2"/>
    <n v="3"/>
    <n v="5"/>
    <n v="2"/>
    <n v="1"/>
    <n v="3"/>
    <x v="1"/>
    <x v="2"/>
    <x v="2"/>
  </r>
  <r>
    <n v="56"/>
    <s v="No"/>
    <s v="Travel_Rarely"/>
    <n v="1400"/>
    <x v="1"/>
    <n v="7"/>
    <n v="3"/>
    <s v="Life Sciences"/>
    <n v="1"/>
    <n v="112"/>
    <n v="4"/>
    <x v="1"/>
    <n v="49"/>
    <n v="1"/>
    <n v="3"/>
    <x v="3"/>
    <x v="0"/>
    <s v="Single"/>
    <n v="7260"/>
    <n v="21698"/>
    <n v="4"/>
    <s v="Y"/>
    <s v="No"/>
    <n v="11"/>
    <n v="3"/>
    <n v="1"/>
    <n v="80"/>
    <n v="0"/>
    <n v="37"/>
    <n v="3"/>
    <n v="2"/>
    <n v="6"/>
    <n v="4"/>
    <n v="0"/>
    <n v="2"/>
    <x v="1"/>
    <x v="1"/>
    <x v="0"/>
  </r>
  <r>
    <n v="23"/>
    <s v="No"/>
    <s v="Travel_Rarely"/>
    <n v="541"/>
    <x v="0"/>
    <n v="2"/>
    <n v="1"/>
    <s v="Technical Degree"/>
    <n v="1"/>
    <n v="113"/>
    <n v="3"/>
    <x v="1"/>
    <n v="62"/>
    <n v="3"/>
    <n v="1"/>
    <x v="6"/>
    <x v="3"/>
    <s v="Divorced"/>
    <n v="2322"/>
    <n v="9518"/>
    <n v="3"/>
    <s v="Y"/>
    <s v="No"/>
    <n v="13"/>
    <n v="3"/>
    <n v="3"/>
    <n v="80"/>
    <n v="1"/>
    <n v="3"/>
    <n v="3"/>
    <n v="3"/>
    <n v="0"/>
    <n v="0"/>
    <n v="0"/>
    <n v="0"/>
    <x v="1"/>
    <x v="3"/>
    <x v="1"/>
  </r>
  <r>
    <n v="51"/>
    <s v="No"/>
    <s v="Travel_Rarely"/>
    <n v="432"/>
    <x v="1"/>
    <n v="9"/>
    <n v="4"/>
    <s v="Life Sciences"/>
    <n v="1"/>
    <n v="116"/>
    <n v="4"/>
    <x v="1"/>
    <n v="96"/>
    <n v="3"/>
    <n v="1"/>
    <x v="2"/>
    <x v="0"/>
    <s v="Married"/>
    <n v="2075"/>
    <n v="18725"/>
    <n v="3"/>
    <s v="Y"/>
    <s v="No"/>
    <n v="23"/>
    <n v="4"/>
    <n v="2"/>
    <n v="80"/>
    <n v="2"/>
    <n v="10"/>
    <n v="4"/>
    <n v="3"/>
    <n v="4"/>
    <n v="2"/>
    <n v="0"/>
    <n v="3"/>
    <x v="1"/>
    <x v="1"/>
    <x v="2"/>
  </r>
  <r>
    <n v="30"/>
    <s v="No"/>
    <s v="Travel_Rarely"/>
    <n v="288"/>
    <x v="1"/>
    <n v="2"/>
    <n v="3"/>
    <s v="Life Sciences"/>
    <n v="1"/>
    <n v="117"/>
    <n v="3"/>
    <x v="1"/>
    <n v="99"/>
    <n v="2"/>
    <n v="2"/>
    <x v="4"/>
    <x v="0"/>
    <s v="Married"/>
    <n v="4152"/>
    <n v="15830"/>
    <n v="1"/>
    <s v="Y"/>
    <s v="No"/>
    <n v="19"/>
    <n v="3"/>
    <n v="1"/>
    <n v="80"/>
    <n v="3"/>
    <n v="11"/>
    <n v="3"/>
    <n v="3"/>
    <n v="11"/>
    <n v="10"/>
    <n v="10"/>
    <n v="8"/>
    <x v="1"/>
    <x v="2"/>
    <x v="3"/>
  </r>
  <r>
    <n v="46"/>
    <s v="Yes"/>
    <s v="Travel_Rarely"/>
    <n v="669"/>
    <x v="0"/>
    <n v="9"/>
    <n v="2"/>
    <s v="Medical"/>
    <n v="1"/>
    <n v="118"/>
    <n v="3"/>
    <x v="1"/>
    <n v="64"/>
    <n v="2"/>
    <n v="3"/>
    <x v="0"/>
    <x v="0"/>
    <s v="Single"/>
    <n v="9619"/>
    <n v="13596"/>
    <n v="1"/>
    <s v="Y"/>
    <s v="No"/>
    <n v="16"/>
    <n v="3"/>
    <n v="4"/>
    <n v="80"/>
    <n v="0"/>
    <n v="9"/>
    <n v="3"/>
    <n v="3"/>
    <n v="9"/>
    <n v="8"/>
    <n v="4"/>
    <n v="7"/>
    <x v="0"/>
    <x v="1"/>
    <x v="0"/>
  </r>
  <r>
    <n v="40"/>
    <s v="No"/>
    <s v="Travel_Frequently"/>
    <n v="530"/>
    <x v="1"/>
    <n v="1"/>
    <n v="4"/>
    <s v="Life Sciences"/>
    <n v="1"/>
    <n v="119"/>
    <n v="3"/>
    <x v="1"/>
    <n v="78"/>
    <n v="2"/>
    <n v="4"/>
    <x v="4"/>
    <x v="1"/>
    <s v="Married"/>
    <n v="13503"/>
    <n v="14115"/>
    <n v="1"/>
    <s v="Y"/>
    <s v="No"/>
    <n v="22"/>
    <n v="4"/>
    <n v="4"/>
    <n v="80"/>
    <n v="1"/>
    <n v="22"/>
    <n v="3"/>
    <n v="2"/>
    <n v="22"/>
    <n v="3"/>
    <n v="11"/>
    <n v="11"/>
    <x v="1"/>
    <x v="0"/>
    <x v="3"/>
  </r>
  <r>
    <n v="51"/>
    <s v="No"/>
    <s v="Travel_Rarely"/>
    <n v="632"/>
    <x v="0"/>
    <n v="21"/>
    <n v="4"/>
    <s v="Marketing"/>
    <n v="1"/>
    <n v="120"/>
    <n v="3"/>
    <x v="1"/>
    <n v="71"/>
    <n v="3"/>
    <n v="2"/>
    <x v="0"/>
    <x v="0"/>
    <s v="Single"/>
    <n v="5441"/>
    <n v="8423"/>
    <n v="0"/>
    <s v="Y"/>
    <s v="Yes"/>
    <n v="22"/>
    <n v="4"/>
    <n v="4"/>
    <n v="80"/>
    <n v="0"/>
    <n v="11"/>
    <n v="2"/>
    <n v="1"/>
    <n v="10"/>
    <n v="7"/>
    <n v="1"/>
    <n v="0"/>
    <x v="1"/>
    <x v="1"/>
    <x v="0"/>
  </r>
  <r>
    <n v="30"/>
    <s v="No"/>
    <s v="Travel_Rarely"/>
    <n v="1334"/>
    <x v="0"/>
    <n v="4"/>
    <n v="2"/>
    <s v="Medical"/>
    <n v="1"/>
    <n v="121"/>
    <n v="3"/>
    <x v="0"/>
    <n v="63"/>
    <n v="2"/>
    <n v="2"/>
    <x v="0"/>
    <x v="1"/>
    <s v="Divorced"/>
    <n v="5209"/>
    <n v="19760"/>
    <n v="1"/>
    <s v="Y"/>
    <s v="Yes"/>
    <n v="12"/>
    <n v="3"/>
    <n v="2"/>
    <n v="80"/>
    <n v="3"/>
    <n v="11"/>
    <n v="4"/>
    <n v="2"/>
    <n v="11"/>
    <n v="8"/>
    <n v="2"/>
    <n v="7"/>
    <x v="1"/>
    <x v="2"/>
    <x v="3"/>
  </r>
  <r>
    <n v="46"/>
    <s v="No"/>
    <s v="Travel_Frequently"/>
    <n v="638"/>
    <x v="1"/>
    <n v="1"/>
    <n v="3"/>
    <s v="Medical"/>
    <n v="1"/>
    <n v="124"/>
    <n v="3"/>
    <x v="1"/>
    <n v="40"/>
    <n v="2"/>
    <n v="3"/>
    <x v="4"/>
    <x v="3"/>
    <s v="Married"/>
    <n v="10673"/>
    <n v="3142"/>
    <n v="2"/>
    <s v="Y"/>
    <s v="Yes"/>
    <n v="13"/>
    <n v="3"/>
    <n v="3"/>
    <n v="80"/>
    <n v="1"/>
    <n v="21"/>
    <n v="5"/>
    <n v="2"/>
    <n v="10"/>
    <n v="9"/>
    <n v="9"/>
    <n v="5"/>
    <x v="1"/>
    <x v="1"/>
    <x v="0"/>
  </r>
  <r>
    <n v="32"/>
    <s v="No"/>
    <s v="Travel_Rarely"/>
    <n v="1093"/>
    <x v="0"/>
    <n v="6"/>
    <n v="4"/>
    <s v="Medical"/>
    <n v="1"/>
    <n v="125"/>
    <n v="2"/>
    <x v="1"/>
    <n v="87"/>
    <n v="3"/>
    <n v="2"/>
    <x v="0"/>
    <x v="2"/>
    <s v="Single"/>
    <n v="5010"/>
    <n v="24301"/>
    <n v="1"/>
    <s v="Y"/>
    <s v="No"/>
    <n v="16"/>
    <n v="3"/>
    <n v="1"/>
    <n v="80"/>
    <n v="0"/>
    <n v="12"/>
    <n v="0"/>
    <n v="3"/>
    <n v="11"/>
    <n v="8"/>
    <n v="5"/>
    <n v="7"/>
    <x v="1"/>
    <x v="2"/>
    <x v="3"/>
  </r>
  <r>
    <n v="54"/>
    <s v="No"/>
    <s v="Travel_Rarely"/>
    <n v="1217"/>
    <x v="1"/>
    <n v="2"/>
    <n v="4"/>
    <s v="Technical Degree"/>
    <n v="1"/>
    <n v="126"/>
    <n v="1"/>
    <x v="0"/>
    <n v="60"/>
    <n v="3"/>
    <n v="3"/>
    <x v="7"/>
    <x v="2"/>
    <s v="Married"/>
    <n v="13549"/>
    <n v="24001"/>
    <n v="9"/>
    <s v="Y"/>
    <s v="No"/>
    <n v="12"/>
    <n v="3"/>
    <n v="1"/>
    <n v="80"/>
    <n v="1"/>
    <n v="16"/>
    <n v="5"/>
    <n v="1"/>
    <n v="4"/>
    <n v="3"/>
    <n v="0"/>
    <n v="3"/>
    <x v="1"/>
    <x v="1"/>
    <x v="2"/>
  </r>
  <r>
    <n v="24"/>
    <s v="No"/>
    <s v="Travel_Rarely"/>
    <n v="1353"/>
    <x v="0"/>
    <n v="3"/>
    <n v="2"/>
    <s v="Other"/>
    <n v="1"/>
    <n v="128"/>
    <n v="1"/>
    <x v="0"/>
    <n v="33"/>
    <n v="3"/>
    <n v="2"/>
    <x v="0"/>
    <x v="2"/>
    <s v="Married"/>
    <n v="4999"/>
    <n v="17519"/>
    <n v="0"/>
    <s v="Y"/>
    <s v="No"/>
    <n v="21"/>
    <n v="4"/>
    <n v="1"/>
    <n v="80"/>
    <n v="1"/>
    <n v="4"/>
    <n v="2"/>
    <n v="2"/>
    <n v="3"/>
    <n v="2"/>
    <n v="0"/>
    <n v="2"/>
    <x v="1"/>
    <x v="3"/>
    <x v="2"/>
  </r>
  <r>
    <n v="28"/>
    <s v="No"/>
    <s v="Non-Travel"/>
    <n v="120"/>
    <x v="0"/>
    <n v="4"/>
    <n v="3"/>
    <s v="Medical"/>
    <n v="1"/>
    <n v="129"/>
    <n v="2"/>
    <x v="1"/>
    <n v="43"/>
    <n v="3"/>
    <n v="2"/>
    <x v="0"/>
    <x v="2"/>
    <s v="Married"/>
    <n v="4221"/>
    <n v="8863"/>
    <n v="1"/>
    <s v="Y"/>
    <s v="No"/>
    <n v="15"/>
    <n v="3"/>
    <n v="2"/>
    <n v="80"/>
    <n v="0"/>
    <n v="5"/>
    <n v="3"/>
    <n v="4"/>
    <n v="5"/>
    <n v="4"/>
    <n v="0"/>
    <n v="4"/>
    <x v="1"/>
    <x v="2"/>
    <x v="2"/>
  </r>
  <r>
    <n v="58"/>
    <s v="No"/>
    <s v="Travel_Rarely"/>
    <n v="682"/>
    <x v="0"/>
    <n v="10"/>
    <n v="4"/>
    <s v="Medical"/>
    <n v="1"/>
    <n v="131"/>
    <n v="4"/>
    <x v="1"/>
    <n v="37"/>
    <n v="3"/>
    <n v="4"/>
    <x v="0"/>
    <x v="2"/>
    <s v="Single"/>
    <n v="13872"/>
    <n v="24409"/>
    <n v="0"/>
    <s v="Y"/>
    <s v="No"/>
    <n v="13"/>
    <n v="3"/>
    <n v="3"/>
    <n v="80"/>
    <n v="0"/>
    <n v="38"/>
    <n v="1"/>
    <n v="2"/>
    <n v="37"/>
    <n v="10"/>
    <n v="1"/>
    <n v="8"/>
    <x v="1"/>
    <x v="1"/>
    <x v="3"/>
  </r>
  <r>
    <n v="44"/>
    <s v="No"/>
    <s v="Non-Travel"/>
    <n v="489"/>
    <x v="1"/>
    <n v="23"/>
    <n v="3"/>
    <s v="Medical"/>
    <n v="1"/>
    <n v="132"/>
    <n v="2"/>
    <x v="1"/>
    <n v="67"/>
    <n v="3"/>
    <n v="2"/>
    <x v="2"/>
    <x v="1"/>
    <s v="Married"/>
    <n v="2042"/>
    <n v="25043"/>
    <n v="4"/>
    <s v="Y"/>
    <s v="No"/>
    <n v="12"/>
    <n v="3"/>
    <n v="3"/>
    <n v="80"/>
    <n v="1"/>
    <n v="17"/>
    <n v="3"/>
    <n v="4"/>
    <n v="3"/>
    <n v="2"/>
    <n v="1"/>
    <n v="2"/>
    <x v="1"/>
    <x v="0"/>
    <x v="2"/>
  </r>
  <r>
    <n v="37"/>
    <s v="Yes"/>
    <s v="Travel_Rarely"/>
    <n v="807"/>
    <x v="2"/>
    <n v="6"/>
    <n v="4"/>
    <s v="Human Resources"/>
    <n v="1"/>
    <n v="133"/>
    <n v="3"/>
    <x v="1"/>
    <n v="63"/>
    <n v="3"/>
    <n v="1"/>
    <x v="8"/>
    <x v="3"/>
    <s v="Divorced"/>
    <n v="2073"/>
    <n v="23648"/>
    <n v="4"/>
    <s v="Y"/>
    <s v="Yes"/>
    <n v="22"/>
    <n v="4"/>
    <n v="4"/>
    <n v="80"/>
    <n v="0"/>
    <n v="7"/>
    <n v="3"/>
    <n v="3"/>
    <n v="3"/>
    <n v="2"/>
    <n v="0"/>
    <n v="2"/>
    <x v="0"/>
    <x v="0"/>
    <x v="2"/>
  </r>
  <r>
    <n v="32"/>
    <s v="No"/>
    <s v="Travel_Rarely"/>
    <n v="827"/>
    <x v="1"/>
    <n v="1"/>
    <n v="1"/>
    <s v="Life Sciences"/>
    <n v="1"/>
    <n v="134"/>
    <n v="4"/>
    <x v="1"/>
    <n v="71"/>
    <n v="3"/>
    <n v="1"/>
    <x v="1"/>
    <x v="3"/>
    <s v="Single"/>
    <n v="2956"/>
    <n v="15178"/>
    <n v="1"/>
    <s v="Y"/>
    <s v="No"/>
    <n v="13"/>
    <n v="3"/>
    <n v="4"/>
    <n v="80"/>
    <n v="0"/>
    <n v="1"/>
    <n v="2"/>
    <n v="3"/>
    <n v="1"/>
    <n v="0"/>
    <n v="0"/>
    <n v="0"/>
    <x v="1"/>
    <x v="2"/>
    <x v="1"/>
  </r>
  <r>
    <n v="20"/>
    <s v="Yes"/>
    <s v="Travel_Frequently"/>
    <n v="871"/>
    <x v="1"/>
    <n v="6"/>
    <n v="3"/>
    <s v="Life Sciences"/>
    <n v="1"/>
    <n v="137"/>
    <n v="4"/>
    <x v="0"/>
    <n v="66"/>
    <n v="2"/>
    <n v="1"/>
    <x v="2"/>
    <x v="0"/>
    <s v="Single"/>
    <n v="2926"/>
    <n v="19783"/>
    <n v="1"/>
    <s v="Y"/>
    <s v="Yes"/>
    <n v="18"/>
    <n v="3"/>
    <n v="2"/>
    <n v="80"/>
    <n v="0"/>
    <n v="1"/>
    <n v="5"/>
    <n v="3"/>
    <n v="1"/>
    <n v="0"/>
    <n v="1"/>
    <n v="0"/>
    <x v="0"/>
    <x v="3"/>
    <x v="1"/>
  </r>
  <r>
    <n v="34"/>
    <s v="No"/>
    <s v="Travel_Rarely"/>
    <n v="665"/>
    <x v="1"/>
    <n v="6"/>
    <n v="4"/>
    <s v="Other"/>
    <n v="1"/>
    <n v="138"/>
    <n v="1"/>
    <x v="0"/>
    <n v="41"/>
    <n v="3"/>
    <n v="2"/>
    <x v="1"/>
    <x v="2"/>
    <s v="Single"/>
    <n v="4809"/>
    <n v="12482"/>
    <n v="1"/>
    <s v="Y"/>
    <s v="No"/>
    <n v="14"/>
    <n v="3"/>
    <n v="3"/>
    <n v="80"/>
    <n v="0"/>
    <n v="16"/>
    <n v="3"/>
    <n v="3"/>
    <n v="16"/>
    <n v="13"/>
    <n v="2"/>
    <n v="10"/>
    <x v="1"/>
    <x v="2"/>
    <x v="3"/>
  </r>
  <r>
    <n v="37"/>
    <s v="No"/>
    <s v="Non-Travel"/>
    <n v="1040"/>
    <x v="1"/>
    <n v="2"/>
    <n v="2"/>
    <s v="Life Sciences"/>
    <n v="1"/>
    <n v="139"/>
    <n v="3"/>
    <x v="1"/>
    <n v="100"/>
    <n v="2"/>
    <n v="2"/>
    <x v="4"/>
    <x v="0"/>
    <s v="Divorced"/>
    <n v="5163"/>
    <n v="15850"/>
    <n v="5"/>
    <s v="Y"/>
    <s v="No"/>
    <n v="14"/>
    <n v="3"/>
    <n v="4"/>
    <n v="80"/>
    <n v="1"/>
    <n v="17"/>
    <n v="2"/>
    <n v="4"/>
    <n v="1"/>
    <n v="0"/>
    <n v="0"/>
    <n v="0"/>
    <x v="1"/>
    <x v="0"/>
    <x v="1"/>
  </r>
  <r>
    <n v="59"/>
    <s v="No"/>
    <s v="Non-Travel"/>
    <n v="1420"/>
    <x v="2"/>
    <n v="2"/>
    <n v="4"/>
    <s v="Human Resources"/>
    <n v="1"/>
    <n v="140"/>
    <n v="3"/>
    <x v="0"/>
    <n v="32"/>
    <n v="2"/>
    <n v="5"/>
    <x v="5"/>
    <x v="0"/>
    <s v="Married"/>
    <n v="18844"/>
    <n v="21922"/>
    <n v="9"/>
    <s v="Y"/>
    <s v="No"/>
    <n v="21"/>
    <n v="4"/>
    <n v="4"/>
    <n v="80"/>
    <n v="1"/>
    <n v="30"/>
    <n v="3"/>
    <n v="3"/>
    <n v="3"/>
    <n v="2"/>
    <n v="2"/>
    <n v="2"/>
    <x v="1"/>
    <x v="1"/>
    <x v="2"/>
  </r>
  <r>
    <n v="50"/>
    <s v="No"/>
    <s v="Travel_Frequently"/>
    <n v="1115"/>
    <x v="1"/>
    <n v="1"/>
    <n v="3"/>
    <s v="Life Sciences"/>
    <n v="1"/>
    <n v="141"/>
    <n v="1"/>
    <x v="0"/>
    <n v="73"/>
    <n v="3"/>
    <n v="5"/>
    <x v="7"/>
    <x v="1"/>
    <s v="Married"/>
    <n v="18172"/>
    <n v="9755"/>
    <n v="3"/>
    <s v="Y"/>
    <s v="Yes"/>
    <n v="19"/>
    <n v="3"/>
    <n v="1"/>
    <n v="80"/>
    <n v="0"/>
    <n v="28"/>
    <n v="1"/>
    <n v="2"/>
    <n v="8"/>
    <n v="3"/>
    <n v="0"/>
    <n v="7"/>
    <x v="1"/>
    <x v="1"/>
    <x v="0"/>
  </r>
  <r>
    <n v="25"/>
    <s v="Yes"/>
    <s v="Travel_Rarely"/>
    <n v="240"/>
    <x v="0"/>
    <n v="5"/>
    <n v="3"/>
    <s v="Marketing"/>
    <n v="1"/>
    <n v="142"/>
    <n v="3"/>
    <x v="1"/>
    <n v="46"/>
    <n v="2"/>
    <n v="2"/>
    <x v="0"/>
    <x v="2"/>
    <s v="Single"/>
    <n v="5744"/>
    <n v="26959"/>
    <n v="1"/>
    <s v="Y"/>
    <s v="Yes"/>
    <n v="11"/>
    <n v="3"/>
    <n v="4"/>
    <n v="80"/>
    <n v="0"/>
    <n v="6"/>
    <n v="1"/>
    <n v="3"/>
    <n v="6"/>
    <n v="4"/>
    <n v="0"/>
    <n v="3"/>
    <x v="0"/>
    <x v="3"/>
    <x v="0"/>
  </r>
  <r>
    <n v="25"/>
    <s v="No"/>
    <s v="Travel_Rarely"/>
    <n v="1280"/>
    <x v="1"/>
    <n v="7"/>
    <n v="1"/>
    <s v="Medical"/>
    <n v="1"/>
    <n v="143"/>
    <n v="4"/>
    <x v="1"/>
    <n v="64"/>
    <n v="2"/>
    <n v="1"/>
    <x v="1"/>
    <x v="0"/>
    <s v="Married"/>
    <n v="2889"/>
    <n v="26897"/>
    <n v="1"/>
    <s v="Y"/>
    <s v="No"/>
    <n v="11"/>
    <n v="3"/>
    <n v="3"/>
    <n v="80"/>
    <n v="2"/>
    <n v="2"/>
    <n v="2"/>
    <n v="3"/>
    <n v="2"/>
    <n v="2"/>
    <n v="2"/>
    <n v="1"/>
    <x v="1"/>
    <x v="3"/>
    <x v="1"/>
  </r>
  <r>
    <n v="22"/>
    <s v="No"/>
    <s v="Travel_Rarely"/>
    <n v="534"/>
    <x v="1"/>
    <n v="15"/>
    <n v="3"/>
    <s v="Medical"/>
    <n v="1"/>
    <n v="144"/>
    <n v="2"/>
    <x v="0"/>
    <n v="59"/>
    <n v="3"/>
    <n v="1"/>
    <x v="2"/>
    <x v="0"/>
    <s v="Single"/>
    <n v="2871"/>
    <n v="23785"/>
    <n v="1"/>
    <s v="Y"/>
    <s v="No"/>
    <n v="15"/>
    <n v="3"/>
    <n v="3"/>
    <n v="80"/>
    <n v="0"/>
    <n v="1"/>
    <n v="5"/>
    <n v="3"/>
    <n v="0"/>
    <n v="0"/>
    <n v="0"/>
    <n v="0"/>
    <x v="1"/>
    <x v="3"/>
    <x v="1"/>
  </r>
  <r>
    <n v="51"/>
    <s v="No"/>
    <s v="Travel_Frequently"/>
    <n v="1456"/>
    <x v="1"/>
    <n v="1"/>
    <n v="4"/>
    <s v="Medical"/>
    <n v="1"/>
    <n v="145"/>
    <n v="1"/>
    <x v="0"/>
    <n v="30"/>
    <n v="2"/>
    <n v="3"/>
    <x v="4"/>
    <x v="3"/>
    <s v="Single"/>
    <n v="7484"/>
    <n v="25796"/>
    <n v="3"/>
    <s v="Y"/>
    <s v="No"/>
    <n v="20"/>
    <n v="4"/>
    <n v="3"/>
    <n v="80"/>
    <n v="0"/>
    <n v="23"/>
    <n v="1"/>
    <n v="2"/>
    <n v="13"/>
    <n v="12"/>
    <n v="12"/>
    <n v="8"/>
    <x v="1"/>
    <x v="1"/>
    <x v="3"/>
  </r>
  <r>
    <n v="34"/>
    <s v="Yes"/>
    <s v="Travel_Frequently"/>
    <n v="658"/>
    <x v="1"/>
    <n v="7"/>
    <n v="3"/>
    <s v="Life Sciences"/>
    <n v="1"/>
    <n v="147"/>
    <n v="1"/>
    <x v="1"/>
    <n v="66"/>
    <n v="1"/>
    <n v="2"/>
    <x v="2"/>
    <x v="2"/>
    <s v="Single"/>
    <n v="6074"/>
    <n v="22887"/>
    <n v="1"/>
    <s v="Y"/>
    <s v="Yes"/>
    <n v="24"/>
    <n v="4"/>
    <n v="4"/>
    <n v="80"/>
    <n v="0"/>
    <n v="9"/>
    <n v="3"/>
    <n v="3"/>
    <n v="9"/>
    <n v="7"/>
    <n v="0"/>
    <n v="6"/>
    <x v="0"/>
    <x v="2"/>
    <x v="0"/>
  </r>
  <r>
    <n v="54"/>
    <s v="No"/>
    <s v="Non-Travel"/>
    <n v="142"/>
    <x v="2"/>
    <n v="26"/>
    <n v="3"/>
    <s v="Human Resources"/>
    <n v="1"/>
    <n v="148"/>
    <n v="4"/>
    <x v="0"/>
    <n v="30"/>
    <n v="4"/>
    <n v="4"/>
    <x v="5"/>
    <x v="0"/>
    <s v="Single"/>
    <n v="17328"/>
    <n v="13871"/>
    <n v="2"/>
    <s v="Y"/>
    <s v="Yes"/>
    <n v="12"/>
    <n v="3"/>
    <n v="3"/>
    <n v="80"/>
    <n v="0"/>
    <n v="23"/>
    <n v="3"/>
    <n v="3"/>
    <n v="5"/>
    <n v="3"/>
    <n v="4"/>
    <n v="4"/>
    <x v="1"/>
    <x v="1"/>
    <x v="2"/>
  </r>
  <r>
    <n v="24"/>
    <s v="No"/>
    <s v="Travel_Rarely"/>
    <n v="1127"/>
    <x v="1"/>
    <n v="18"/>
    <n v="1"/>
    <s v="Life Sciences"/>
    <n v="1"/>
    <n v="150"/>
    <n v="2"/>
    <x v="1"/>
    <n v="52"/>
    <n v="3"/>
    <n v="1"/>
    <x v="2"/>
    <x v="2"/>
    <s v="Married"/>
    <n v="2774"/>
    <n v="13257"/>
    <n v="0"/>
    <s v="Y"/>
    <s v="No"/>
    <n v="12"/>
    <n v="3"/>
    <n v="3"/>
    <n v="80"/>
    <n v="1"/>
    <n v="6"/>
    <n v="2"/>
    <n v="3"/>
    <n v="5"/>
    <n v="3"/>
    <n v="1"/>
    <n v="2"/>
    <x v="1"/>
    <x v="3"/>
    <x v="2"/>
  </r>
  <r>
    <n v="34"/>
    <s v="No"/>
    <s v="Travel_Rarely"/>
    <n v="1031"/>
    <x v="1"/>
    <n v="6"/>
    <n v="4"/>
    <s v="Life Sciences"/>
    <n v="1"/>
    <n v="151"/>
    <n v="3"/>
    <x v="0"/>
    <n v="45"/>
    <n v="2"/>
    <n v="2"/>
    <x v="1"/>
    <x v="1"/>
    <s v="Divorced"/>
    <n v="4505"/>
    <n v="15000"/>
    <n v="6"/>
    <s v="Y"/>
    <s v="No"/>
    <n v="15"/>
    <n v="3"/>
    <n v="3"/>
    <n v="80"/>
    <n v="1"/>
    <n v="12"/>
    <n v="3"/>
    <n v="3"/>
    <n v="1"/>
    <n v="0"/>
    <n v="0"/>
    <n v="0"/>
    <x v="1"/>
    <x v="2"/>
    <x v="1"/>
  </r>
  <r>
    <n v="37"/>
    <s v="No"/>
    <s v="Travel_Rarely"/>
    <n v="1189"/>
    <x v="0"/>
    <n v="3"/>
    <n v="3"/>
    <s v="Life Sciences"/>
    <n v="1"/>
    <n v="152"/>
    <n v="3"/>
    <x v="1"/>
    <n v="87"/>
    <n v="3"/>
    <n v="3"/>
    <x v="0"/>
    <x v="0"/>
    <s v="Single"/>
    <n v="7428"/>
    <n v="14506"/>
    <n v="2"/>
    <s v="Y"/>
    <s v="No"/>
    <n v="12"/>
    <n v="3"/>
    <n v="1"/>
    <n v="80"/>
    <n v="0"/>
    <n v="12"/>
    <n v="3"/>
    <n v="3"/>
    <n v="5"/>
    <n v="3"/>
    <n v="1"/>
    <n v="3"/>
    <x v="1"/>
    <x v="0"/>
    <x v="2"/>
  </r>
  <r>
    <n v="34"/>
    <s v="No"/>
    <s v="Travel_Rarely"/>
    <n v="1354"/>
    <x v="1"/>
    <n v="5"/>
    <n v="3"/>
    <s v="Medical"/>
    <n v="1"/>
    <n v="153"/>
    <n v="3"/>
    <x v="0"/>
    <n v="45"/>
    <n v="2"/>
    <n v="3"/>
    <x v="5"/>
    <x v="3"/>
    <s v="Single"/>
    <n v="11631"/>
    <n v="5615"/>
    <n v="2"/>
    <s v="Y"/>
    <s v="No"/>
    <n v="12"/>
    <n v="3"/>
    <n v="4"/>
    <n v="80"/>
    <n v="0"/>
    <n v="14"/>
    <n v="6"/>
    <n v="3"/>
    <n v="11"/>
    <n v="10"/>
    <n v="5"/>
    <n v="8"/>
    <x v="1"/>
    <x v="2"/>
    <x v="3"/>
  </r>
  <r>
    <n v="36"/>
    <s v="No"/>
    <s v="Travel_Frequently"/>
    <n v="1467"/>
    <x v="0"/>
    <n v="11"/>
    <n v="2"/>
    <s v="Technical Degree"/>
    <n v="1"/>
    <n v="154"/>
    <n v="2"/>
    <x v="0"/>
    <n v="92"/>
    <n v="3"/>
    <n v="3"/>
    <x v="0"/>
    <x v="0"/>
    <s v="Married"/>
    <n v="9738"/>
    <n v="22952"/>
    <n v="0"/>
    <s v="Y"/>
    <s v="No"/>
    <n v="14"/>
    <n v="3"/>
    <n v="3"/>
    <n v="80"/>
    <n v="1"/>
    <n v="10"/>
    <n v="6"/>
    <n v="3"/>
    <n v="9"/>
    <n v="7"/>
    <n v="2"/>
    <n v="8"/>
    <x v="1"/>
    <x v="0"/>
    <x v="0"/>
  </r>
  <r>
    <n v="36"/>
    <s v="No"/>
    <s v="Travel_Rarely"/>
    <n v="922"/>
    <x v="1"/>
    <n v="3"/>
    <n v="2"/>
    <s v="Life Sciences"/>
    <n v="1"/>
    <n v="155"/>
    <n v="1"/>
    <x v="0"/>
    <n v="39"/>
    <n v="3"/>
    <n v="1"/>
    <x v="2"/>
    <x v="0"/>
    <s v="Divorced"/>
    <n v="2835"/>
    <n v="2561"/>
    <n v="5"/>
    <s v="Y"/>
    <s v="No"/>
    <n v="22"/>
    <n v="4"/>
    <n v="1"/>
    <n v="80"/>
    <n v="1"/>
    <n v="7"/>
    <n v="2"/>
    <n v="3"/>
    <n v="1"/>
    <n v="0"/>
    <n v="0"/>
    <n v="0"/>
    <x v="1"/>
    <x v="0"/>
    <x v="1"/>
  </r>
  <r>
    <n v="43"/>
    <s v="No"/>
    <s v="Travel_Frequently"/>
    <n v="394"/>
    <x v="0"/>
    <n v="26"/>
    <n v="2"/>
    <s v="Life Sciences"/>
    <n v="1"/>
    <n v="158"/>
    <n v="3"/>
    <x v="1"/>
    <n v="92"/>
    <n v="3"/>
    <n v="4"/>
    <x v="5"/>
    <x v="0"/>
    <s v="Married"/>
    <n v="16959"/>
    <n v="19494"/>
    <n v="1"/>
    <s v="Y"/>
    <s v="Yes"/>
    <n v="12"/>
    <n v="3"/>
    <n v="4"/>
    <n v="80"/>
    <n v="2"/>
    <n v="25"/>
    <n v="3"/>
    <n v="4"/>
    <n v="25"/>
    <n v="12"/>
    <n v="4"/>
    <n v="12"/>
    <x v="1"/>
    <x v="0"/>
    <x v="3"/>
  </r>
  <r>
    <n v="30"/>
    <s v="No"/>
    <s v="Travel_Frequently"/>
    <n v="1312"/>
    <x v="1"/>
    <n v="23"/>
    <n v="3"/>
    <s v="Life Sciences"/>
    <n v="1"/>
    <n v="159"/>
    <n v="1"/>
    <x v="1"/>
    <n v="96"/>
    <n v="1"/>
    <n v="1"/>
    <x v="1"/>
    <x v="2"/>
    <s v="Divorced"/>
    <n v="2613"/>
    <n v="22310"/>
    <n v="1"/>
    <s v="Y"/>
    <s v="No"/>
    <n v="25"/>
    <n v="4"/>
    <n v="3"/>
    <n v="80"/>
    <n v="3"/>
    <n v="10"/>
    <n v="2"/>
    <n v="2"/>
    <n v="10"/>
    <n v="7"/>
    <n v="0"/>
    <n v="9"/>
    <x v="1"/>
    <x v="2"/>
    <x v="0"/>
  </r>
  <r>
    <n v="33"/>
    <s v="No"/>
    <s v="Non-Travel"/>
    <n v="750"/>
    <x v="0"/>
    <n v="22"/>
    <n v="2"/>
    <s v="Marketing"/>
    <n v="1"/>
    <n v="160"/>
    <n v="3"/>
    <x v="1"/>
    <n v="95"/>
    <n v="3"/>
    <n v="2"/>
    <x v="0"/>
    <x v="1"/>
    <s v="Married"/>
    <n v="6146"/>
    <n v="15480"/>
    <n v="0"/>
    <s v="Y"/>
    <s v="No"/>
    <n v="13"/>
    <n v="3"/>
    <n v="1"/>
    <n v="80"/>
    <n v="1"/>
    <n v="8"/>
    <n v="2"/>
    <n v="4"/>
    <n v="7"/>
    <n v="7"/>
    <n v="0"/>
    <n v="7"/>
    <x v="1"/>
    <x v="2"/>
    <x v="0"/>
  </r>
  <r>
    <n v="56"/>
    <s v="Yes"/>
    <s v="Travel_Rarely"/>
    <n v="441"/>
    <x v="1"/>
    <n v="14"/>
    <n v="4"/>
    <s v="Life Sciences"/>
    <n v="1"/>
    <n v="161"/>
    <n v="2"/>
    <x v="0"/>
    <n v="72"/>
    <n v="3"/>
    <n v="1"/>
    <x v="1"/>
    <x v="1"/>
    <s v="Married"/>
    <n v="4963"/>
    <n v="4510"/>
    <n v="9"/>
    <s v="Y"/>
    <s v="Yes"/>
    <n v="18"/>
    <n v="3"/>
    <n v="1"/>
    <n v="80"/>
    <n v="3"/>
    <n v="7"/>
    <n v="2"/>
    <n v="3"/>
    <n v="5"/>
    <n v="4"/>
    <n v="4"/>
    <n v="3"/>
    <x v="0"/>
    <x v="1"/>
    <x v="2"/>
  </r>
  <r>
    <n v="51"/>
    <s v="No"/>
    <s v="Travel_Rarely"/>
    <n v="684"/>
    <x v="1"/>
    <n v="6"/>
    <n v="3"/>
    <s v="Life Sciences"/>
    <n v="1"/>
    <n v="162"/>
    <n v="1"/>
    <x v="1"/>
    <n v="51"/>
    <n v="3"/>
    <n v="5"/>
    <x v="7"/>
    <x v="2"/>
    <s v="Single"/>
    <n v="19537"/>
    <n v="6462"/>
    <n v="7"/>
    <s v="Y"/>
    <s v="No"/>
    <n v="13"/>
    <n v="3"/>
    <n v="3"/>
    <n v="80"/>
    <n v="0"/>
    <n v="23"/>
    <n v="5"/>
    <n v="3"/>
    <n v="20"/>
    <n v="18"/>
    <n v="15"/>
    <n v="15"/>
    <x v="1"/>
    <x v="1"/>
    <x v="3"/>
  </r>
  <r>
    <n v="31"/>
    <s v="Yes"/>
    <s v="Travel_Rarely"/>
    <n v="249"/>
    <x v="0"/>
    <n v="6"/>
    <n v="4"/>
    <s v="Life Sciences"/>
    <n v="1"/>
    <n v="163"/>
    <n v="2"/>
    <x v="1"/>
    <n v="76"/>
    <n v="1"/>
    <n v="2"/>
    <x v="0"/>
    <x v="2"/>
    <s v="Married"/>
    <n v="6172"/>
    <n v="20739"/>
    <n v="4"/>
    <s v="Y"/>
    <s v="Yes"/>
    <n v="18"/>
    <n v="3"/>
    <n v="2"/>
    <n v="80"/>
    <n v="0"/>
    <n v="12"/>
    <n v="3"/>
    <n v="2"/>
    <n v="7"/>
    <n v="7"/>
    <n v="7"/>
    <n v="7"/>
    <x v="0"/>
    <x v="2"/>
    <x v="0"/>
  </r>
  <r>
    <n v="26"/>
    <s v="No"/>
    <s v="Travel_Rarely"/>
    <n v="841"/>
    <x v="1"/>
    <n v="6"/>
    <n v="3"/>
    <s v="Other"/>
    <n v="1"/>
    <n v="164"/>
    <n v="3"/>
    <x v="0"/>
    <n v="46"/>
    <n v="2"/>
    <n v="1"/>
    <x v="1"/>
    <x v="1"/>
    <s v="Married"/>
    <n v="2368"/>
    <n v="23300"/>
    <n v="1"/>
    <s v="Y"/>
    <s v="No"/>
    <n v="19"/>
    <n v="3"/>
    <n v="3"/>
    <n v="80"/>
    <n v="0"/>
    <n v="5"/>
    <n v="3"/>
    <n v="2"/>
    <n v="5"/>
    <n v="4"/>
    <n v="4"/>
    <n v="3"/>
    <x v="1"/>
    <x v="2"/>
    <x v="2"/>
  </r>
  <r>
    <n v="58"/>
    <s v="Yes"/>
    <s v="Travel_Rarely"/>
    <n v="147"/>
    <x v="1"/>
    <n v="23"/>
    <n v="4"/>
    <s v="Medical"/>
    <n v="1"/>
    <n v="165"/>
    <n v="4"/>
    <x v="0"/>
    <n v="94"/>
    <n v="3"/>
    <n v="3"/>
    <x v="4"/>
    <x v="0"/>
    <s v="Married"/>
    <n v="10312"/>
    <n v="3465"/>
    <n v="1"/>
    <s v="Y"/>
    <s v="No"/>
    <n v="12"/>
    <n v="3"/>
    <n v="4"/>
    <n v="80"/>
    <n v="1"/>
    <n v="40"/>
    <n v="3"/>
    <n v="2"/>
    <n v="40"/>
    <n v="10"/>
    <n v="15"/>
    <n v="6"/>
    <x v="0"/>
    <x v="1"/>
    <x v="3"/>
  </r>
  <r>
    <n v="19"/>
    <s v="Yes"/>
    <s v="Travel_Rarely"/>
    <n v="528"/>
    <x v="0"/>
    <n v="22"/>
    <n v="1"/>
    <s v="Marketing"/>
    <n v="1"/>
    <n v="167"/>
    <n v="4"/>
    <x v="1"/>
    <n v="50"/>
    <n v="3"/>
    <n v="1"/>
    <x v="6"/>
    <x v="2"/>
    <s v="Single"/>
    <n v="1675"/>
    <n v="26820"/>
    <n v="1"/>
    <s v="Y"/>
    <s v="Yes"/>
    <n v="19"/>
    <n v="3"/>
    <n v="4"/>
    <n v="80"/>
    <n v="0"/>
    <n v="0"/>
    <n v="2"/>
    <n v="2"/>
    <n v="0"/>
    <n v="0"/>
    <n v="0"/>
    <n v="0"/>
    <x v="0"/>
    <x v="3"/>
    <x v="1"/>
  </r>
  <r>
    <n v="22"/>
    <s v="No"/>
    <s v="Travel_Rarely"/>
    <n v="594"/>
    <x v="1"/>
    <n v="2"/>
    <n v="1"/>
    <s v="Technical Degree"/>
    <n v="1"/>
    <n v="169"/>
    <n v="3"/>
    <x v="1"/>
    <n v="100"/>
    <n v="3"/>
    <n v="1"/>
    <x v="2"/>
    <x v="0"/>
    <s v="Married"/>
    <n v="2523"/>
    <n v="19299"/>
    <n v="0"/>
    <s v="Y"/>
    <s v="No"/>
    <n v="14"/>
    <n v="3"/>
    <n v="3"/>
    <n v="80"/>
    <n v="1"/>
    <n v="3"/>
    <n v="2"/>
    <n v="3"/>
    <n v="2"/>
    <n v="1"/>
    <n v="2"/>
    <n v="1"/>
    <x v="1"/>
    <x v="3"/>
    <x v="1"/>
  </r>
  <r>
    <n v="49"/>
    <s v="No"/>
    <s v="Travel_Rarely"/>
    <n v="470"/>
    <x v="1"/>
    <n v="20"/>
    <n v="4"/>
    <s v="Medical"/>
    <n v="1"/>
    <n v="170"/>
    <n v="3"/>
    <x v="0"/>
    <n v="96"/>
    <n v="3"/>
    <n v="2"/>
    <x v="3"/>
    <x v="3"/>
    <s v="Married"/>
    <n v="6567"/>
    <n v="5549"/>
    <n v="1"/>
    <s v="Y"/>
    <s v="No"/>
    <n v="14"/>
    <n v="3"/>
    <n v="3"/>
    <n v="80"/>
    <n v="0"/>
    <n v="16"/>
    <n v="2"/>
    <n v="2"/>
    <n v="15"/>
    <n v="11"/>
    <n v="5"/>
    <n v="11"/>
    <x v="1"/>
    <x v="1"/>
    <x v="3"/>
  </r>
  <r>
    <n v="43"/>
    <s v="No"/>
    <s v="Travel_Frequently"/>
    <n v="957"/>
    <x v="1"/>
    <n v="28"/>
    <n v="3"/>
    <s v="Medical"/>
    <n v="1"/>
    <n v="171"/>
    <n v="2"/>
    <x v="0"/>
    <n v="72"/>
    <n v="4"/>
    <n v="1"/>
    <x v="1"/>
    <x v="2"/>
    <s v="Single"/>
    <n v="4739"/>
    <n v="16090"/>
    <n v="4"/>
    <s v="Y"/>
    <s v="No"/>
    <n v="12"/>
    <n v="3"/>
    <n v="4"/>
    <n v="80"/>
    <n v="0"/>
    <n v="18"/>
    <n v="2"/>
    <n v="3"/>
    <n v="3"/>
    <n v="2"/>
    <n v="1"/>
    <n v="2"/>
    <x v="1"/>
    <x v="0"/>
    <x v="2"/>
  </r>
  <r>
    <n v="50"/>
    <s v="No"/>
    <s v="Travel_Frequently"/>
    <n v="809"/>
    <x v="0"/>
    <n v="12"/>
    <n v="3"/>
    <s v="Marketing"/>
    <n v="1"/>
    <n v="174"/>
    <n v="3"/>
    <x v="0"/>
    <n v="77"/>
    <n v="3"/>
    <n v="3"/>
    <x v="0"/>
    <x v="0"/>
    <s v="Single"/>
    <n v="9208"/>
    <n v="6645"/>
    <n v="4"/>
    <s v="Y"/>
    <s v="No"/>
    <n v="11"/>
    <n v="3"/>
    <n v="4"/>
    <n v="80"/>
    <n v="0"/>
    <n v="16"/>
    <n v="3"/>
    <n v="3"/>
    <n v="2"/>
    <n v="2"/>
    <n v="2"/>
    <n v="1"/>
    <x v="1"/>
    <x v="1"/>
    <x v="1"/>
  </r>
  <r>
    <n v="31"/>
    <s v="Yes"/>
    <s v="Travel_Rarely"/>
    <n v="542"/>
    <x v="0"/>
    <n v="20"/>
    <n v="3"/>
    <s v="Life Sciences"/>
    <n v="1"/>
    <n v="175"/>
    <n v="2"/>
    <x v="0"/>
    <n v="71"/>
    <n v="1"/>
    <n v="2"/>
    <x v="0"/>
    <x v="2"/>
    <s v="Married"/>
    <n v="4559"/>
    <n v="24788"/>
    <n v="3"/>
    <s v="Y"/>
    <s v="Yes"/>
    <n v="11"/>
    <n v="3"/>
    <n v="3"/>
    <n v="80"/>
    <n v="1"/>
    <n v="4"/>
    <n v="2"/>
    <n v="3"/>
    <n v="2"/>
    <n v="2"/>
    <n v="2"/>
    <n v="2"/>
    <x v="0"/>
    <x v="2"/>
    <x v="1"/>
  </r>
  <r>
    <n v="41"/>
    <s v="No"/>
    <s v="Travel_Rarely"/>
    <n v="802"/>
    <x v="0"/>
    <n v="9"/>
    <n v="1"/>
    <s v="Life Sciences"/>
    <n v="1"/>
    <n v="176"/>
    <n v="3"/>
    <x v="1"/>
    <n v="96"/>
    <n v="3"/>
    <n v="3"/>
    <x v="0"/>
    <x v="2"/>
    <s v="Divorced"/>
    <n v="8189"/>
    <n v="21196"/>
    <n v="3"/>
    <s v="Y"/>
    <s v="Yes"/>
    <n v="13"/>
    <n v="3"/>
    <n v="3"/>
    <n v="80"/>
    <n v="1"/>
    <n v="12"/>
    <n v="2"/>
    <n v="3"/>
    <n v="9"/>
    <n v="7"/>
    <n v="0"/>
    <n v="7"/>
    <x v="1"/>
    <x v="0"/>
    <x v="0"/>
  </r>
  <r>
    <n v="26"/>
    <s v="No"/>
    <s v="Travel_Rarely"/>
    <n v="1355"/>
    <x v="2"/>
    <n v="25"/>
    <n v="1"/>
    <s v="Life Sciences"/>
    <n v="1"/>
    <n v="177"/>
    <n v="3"/>
    <x v="0"/>
    <n v="61"/>
    <n v="3"/>
    <n v="1"/>
    <x v="8"/>
    <x v="2"/>
    <s v="Married"/>
    <n v="2942"/>
    <n v="8916"/>
    <n v="1"/>
    <s v="Y"/>
    <s v="No"/>
    <n v="23"/>
    <n v="4"/>
    <n v="4"/>
    <n v="80"/>
    <n v="1"/>
    <n v="8"/>
    <n v="3"/>
    <n v="3"/>
    <n v="8"/>
    <n v="7"/>
    <n v="5"/>
    <n v="7"/>
    <x v="1"/>
    <x v="2"/>
    <x v="0"/>
  </r>
  <r>
    <n v="36"/>
    <s v="No"/>
    <s v="Travel_Rarely"/>
    <n v="216"/>
    <x v="1"/>
    <n v="6"/>
    <n v="2"/>
    <s v="Medical"/>
    <n v="1"/>
    <n v="178"/>
    <n v="2"/>
    <x v="1"/>
    <n v="84"/>
    <n v="3"/>
    <n v="2"/>
    <x v="3"/>
    <x v="1"/>
    <s v="Divorced"/>
    <n v="4941"/>
    <n v="2819"/>
    <n v="6"/>
    <s v="Y"/>
    <s v="No"/>
    <n v="20"/>
    <n v="4"/>
    <n v="4"/>
    <n v="80"/>
    <n v="2"/>
    <n v="7"/>
    <n v="0"/>
    <n v="3"/>
    <n v="3"/>
    <n v="2"/>
    <n v="0"/>
    <n v="1"/>
    <x v="1"/>
    <x v="0"/>
    <x v="2"/>
  </r>
  <r>
    <n v="51"/>
    <s v="Yes"/>
    <s v="Travel_Frequently"/>
    <n v="1150"/>
    <x v="1"/>
    <n v="8"/>
    <n v="4"/>
    <s v="Life Sciences"/>
    <n v="1"/>
    <n v="179"/>
    <n v="1"/>
    <x v="1"/>
    <n v="53"/>
    <n v="1"/>
    <n v="3"/>
    <x v="3"/>
    <x v="0"/>
    <s v="Single"/>
    <n v="10650"/>
    <n v="25150"/>
    <n v="2"/>
    <s v="Y"/>
    <s v="No"/>
    <n v="15"/>
    <n v="3"/>
    <n v="4"/>
    <n v="80"/>
    <n v="0"/>
    <n v="18"/>
    <n v="2"/>
    <n v="3"/>
    <n v="4"/>
    <n v="2"/>
    <n v="0"/>
    <n v="3"/>
    <x v="0"/>
    <x v="1"/>
    <x v="2"/>
  </r>
  <r>
    <n v="39"/>
    <s v="No"/>
    <s v="Travel_Rarely"/>
    <n v="1329"/>
    <x v="0"/>
    <n v="4"/>
    <n v="4"/>
    <s v="Life Sciences"/>
    <n v="1"/>
    <n v="182"/>
    <n v="4"/>
    <x v="0"/>
    <n v="47"/>
    <n v="2"/>
    <n v="2"/>
    <x v="0"/>
    <x v="2"/>
    <s v="Married"/>
    <n v="5902"/>
    <n v="14590"/>
    <n v="4"/>
    <s v="Y"/>
    <s v="No"/>
    <n v="14"/>
    <n v="3"/>
    <n v="3"/>
    <n v="80"/>
    <n v="1"/>
    <n v="17"/>
    <n v="1"/>
    <n v="4"/>
    <n v="15"/>
    <n v="11"/>
    <n v="5"/>
    <n v="9"/>
    <x v="1"/>
    <x v="0"/>
    <x v="3"/>
  </r>
  <r>
    <n v="25"/>
    <s v="No"/>
    <s v="Travel_Rarely"/>
    <n v="959"/>
    <x v="0"/>
    <n v="28"/>
    <n v="3"/>
    <s v="Life Sciences"/>
    <n v="1"/>
    <n v="183"/>
    <n v="1"/>
    <x v="1"/>
    <n v="41"/>
    <n v="2"/>
    <n v="2"/>
    <x v="0"/>
    <x v="2"/>
    <s v="Married"/>
    <n v="8639"/>
    <n v="24835"/>
    <n v="2"/>
    <s v="Y"/>
    <s v="No"/>
    <n v="18"/>
    <n v="3"/>
    <n v="4"/>
    <n v="80"/>
    <n v="0"/>
    <n v="6"/>
    <n v="3"/>
    <n v="3"/>
    <n v="2"/>
    <n v="2"/>
    <n v="2"/>
    <n v="2"/>
    <x v="1"/>
    <x v="3"/>
    <x v="1"/>
  </r>
  <r>
    <n v="30"/>
    <s v="No"/>
    <s v="Travel_Rarely"/>
    <n v="1240"/>
    <x v="2"/>
    <n v="9"/>
    <n v="3"/>
    <s v="Human Resources"/>
    <n v="1"/>
    <n v="184"/>
    <n v="3"/>
    <x v="1"/>
    <n v="48"/>
    <n v="3"/>
    <n v="2"/>
    <x v="8"/>
    <x v="0"/>
    <s v="Married"/>
    <n v="6347"/>
    <n v="13982"/>
    <n v="0"/>
    <s v="Y"/>
    <s v="Yes"/>
    <n v="19"/>
    <n v="3"/>
    <n v="4"/>
    <n v="80"/>
    <n v="0"/>
    <n v="12"/>
    <n v="2"/>
    <n v="1"/>
    <n v="11"/>
    <n v="9"/>
    <n v="4"/>
    <n v="7"/>
    <x v="1"/>
    <x v="2"/>
    <x v="3"/>
  </r>
  <r>
    <n v="32"/>
    <s v="Yes"/>
    <s v="Travel_Rarely"/>
    <n v="1033"/>
    <x v="1"/>
    <n v="9"/>
    <n v="3"/>
    <s v="Medical"/>
    <n v="1"/>
    <n v="190"/>
    <n v="1"/>
    <x v="0"/>
    <n v="41"/>
    <n v="3"/>
    <n v="1"/>
    <x v="2"/>
    <x v="3"/>
    <s v="Single"/>
    <n v="4200"/>
    <n v="10224"/>
    <n v="7"/>
    <s v="Y"/>
    <s v="No"/>
    <n v="22"/>
    <n v="4"/>
    <n v="1"/>
    <n v="80"/>
    <n v="0"/>
    <n v="10"/>
    <n v="2"/>
    <n v="4"/>
    <n v="5"/>
    <n v="4"/>
    <n v="0"/>
    <n v="4"/>
    <x v="0"/>
    <x v="2"/>
    <x v="2"/>
  </r>
  <r>
    <n v="45"/>
    <s v="No"/>
    <s v="Travel_Rarely"/>
    <n v="1316"/>
    <x v="1"/>
    <n v="29"/>
    <n v="3"/>
    <s v="Medical"/>
    <n v="1"/>
    <n v="192"/>
    <n v="3"/>
    <x v="1"/>
    <n v="83"/>
    <n v="3"/>
    <n v="1"/>
    <x v="1"/>
    <x v="0"/>
    <s v="Single"/>
    <n v="3452"/>
    <n v="9752"/>
    <n v="5"/>
    <s v="Y"/>
    <s v="No"/>
    <n v="13"/>
    <n v="3"/>
    <n v="2"/>
    <n v="80"/>
    <n v="0"/>
    <n v="9"/>
    <n v="2"/>
    <n v="2"/>
    <n v="6"/>
    <n v="5"/>
    <n v="0"/>
    <n v="3"/>
    <x v="1"/>
    <x v="0"/>
    <x v="0"/>
  </r>
  <r>
    <n v="38"/>
    <s v="No"/>
    <s v="Travel_Rarely"/>
    <n v="364"/>
    <x v="1"/>
    <n v="3"/>
    <n v="5"/>
    <s v="Technical Degree"/>
    <n v="1"/>
    <n v="193"/>
    <n v="4"/>
    <x v="0"/>
    <n v="32"/>
    <n v="3"/>
    <n v="2"/>
    <x v="1"/>
    <x v="2"/>
    <s v="Single"/>
    <n v="4317"/>
    <n v="2302"/>
    <n v="3"/>
    <s v="Y"/>
    <s v="Yes"/>
    <n v="20"/>
    <n v="4"/>
    <n v="2"/>
    <n v="80"/>
    <n v="0"/>
    <n v="19"/>
    <n v="2"/>
    <n v="3"/>
    <n v="3"/>
    <n v="2"/>
    <n v="2"/>
    <n v="2"/>
    <x v="1"/>
    <x v="0"/>
    <x v="2"/>
  </r>
  <r>
    <n v="30"/>
    <s v="No"/>
    <s v="Travel_Rarely"/>
    <n v="438"/>
    <x v="1"/>
    <n v="18"/>
    <n v="3"/>
    <s v="Life Sciences"/>
    <n v="1"/>
    <n v="194"/>
    <n v="1"/>
    <x v="0"/>
    <n v="75"/>
    <n v="3"/>
    <n v="1"/>
    <x v="1"/>
    <x v="2"/>
    <s v="Single"/>
    <n v="2632"/>
    <n v="23910"/>
    <n v="1"/>
    <s v="Y"/>
    <s v="No"/>
    <n v="14"/>
    <n v="3"/>
    <n v="3"/>
    <n v="80"/>
    <n v="0"/>
    <n v="5"/>
    <n v="4"/>
    <n v="2"/>
    <n v="5"/>
    <n v="4"/>
    <n v="0"/>
    <n v="4"/>
    <x v="1"/>
    <x v="2"/>
    <x v="2"/>
  </r>
  <r>
    <n v="32"/>
    <s v="No"/>
    <s v="Travel_Frequently"/>
    <n v="689"/>
    <x v="0"/>
    <n v="9"/>
    <n v="2"/>
    <s v="Medical"/>
    <n v="1"/>
    <n v="195"/>
    <n v="4"/>
    <x v="1"/>
    <n v="35"/>
    <n v="1"/>
    <n v="2"/>
    <x v="0"/>
    <x v="0"/>
    <s v="Divorced"/>
    <n v="4668"/>
    <n v="22812"/>
    <n v="0"/>
    <s v="Y"/>
    <s v="No"/>
    <n v="17"/>
    <n v="3"/>
    <n v="4"/>
    <n v="80"/>
    <n v="3"/>
    <n v="9"/>
    <n v="2"/>
    <n v="4"/>
    <n v="8"/>
    <n v="7"/>
    <n v="0"/>
    <n v="7"/>
    <x v="1"/>
    <x v="2"/>
    <x v="0"/>
  </r>
  <r>
    <n v="30"/>
    <s v="No"/>
    <s v="Travel_Rarely"/>
    <n v="201"/>
    <x v="1"/>
    <n v="5"/>
    <n v="3"/>
    <s v="Technical Degree"/>
    <n v="1"/>
    <n v="197"/>
    <n v="4"/>
    <x v="0"/>
    <n v="84"/>
    <n v="3"/>
    <n v="1"/>
    <x v="1"/>
    <x v="3"/>
    <s v="Divorced"/>
    <n v="3204"/>
    <n v="10415"/>
    <n v="5"/>
    <s v="Y"/>
    <s v="No"/>
    <n v="14"/>
    <n v="3"/>
    <n v="4"/>
    <n v="80"/>
    <n v="1"/>
    <n v="8"/>
    <n v="3"/>
    <n v="3"/>
    <n v="3"/>
    <n v="2"/>
    <n v="2"/>
    <n v="2"/>
    <x v="1"/>
    <x v="2"/>
    <x v="2"/>
  </r>
  <r>
    <n v="30"/>
    <s v="No"/>
    <s v="Travel_Rarely"/>
    <n v="1427"/>
    <x v="1"/>
    <n v="2"/>
    <n v="1"/>
    <s v="Medical"/>
    <n v="1"/>
    <n v="198"/>
    <n v="2"/>
    <x v="1"/>
    <n v="35"/>
    <n v="2"/>
    <n v="1"/>
    <x v="2"/>
    <x v="0"/>
    <s v="Single"/>
    <n v="2720"/>
    <n v="11162"/>
    <n v="0"/>
    <s v="Y"/>
    <s v="No"/>
    <n v="13"/>
    <n v="3"/>
    <n v="4"/>
    <n v="80"/>
    <n v="0"/>
    <n v="6"/>
    <n v="3"/>
    <n v="3"/>
    <n v="5"/>
    <n v="3"/>
    <n v="1"/>
    <n v="2"/>
    <x v="1"/>
    <x v="2"/>
    <x v="2"/>
  </r>
  <r>
    <n v="41"/>
    <s v="No"/>
    <s v="Travel_Frequently"/>
    <n v="857"/>
    <x v="1"/>
    <n v="10"/>
    <n v="3"/>
    <s v="Life Sciences"/>
    <n v="1"/>
    <n v="199"/>
    <n v="4"/>
    <x v="1"/>
    <n v="91"/>
    <n v="2"/>
    <n v="4"/>
    <x v="5"/>
    <x v="3"/>
    <s v="Divorced"/>
    <n v="17181"/>
    <n v="12888"/>
    <n v="4"/>
    <s v="Y"/>
    <s v="No"/>
    <n v="13"/>
    <n v="3"/>
    <n v="2"/>
    <n v="80"/>
    <n v="1"/>
    <n v="21"/>
    <n v="2"/>
    <n v="2"/>
    <n v="7"/>
    <n v="6"/>
    <n v="7"/>
    <n v="7"/>
    <x v="1"/>
    <x v="0"/>
    <x v="0"/>
  </r>
  <r>
    <n v="41"/>
    <s v="No"/>
    <s v="Travel_Rarely"/>
    <n v="933"/>
    <x v="1"/>
    <n v="9"/>
    <n v="4"/>
    <s v="Life Sciences"/>
    <n v="1"/>
    <n v="200"/>
    <n v="3"/>
    <x v="1"/>
    <n v="94"/>
    <n v="3"/>
    <n v="1"/>
    <x v="2"/>
    <x v="3"/>
    <s v="Married"/>
    <n v="2238"/>
    <n v="6961"/>
    <n v="2"/>
    <s v="Y"/>
    <s v="No"/>
    <n v="21"/>
    <n v="4"/>
    <n v="4"/>
    <n v="80"/>
    <n v="1"/>
    <n v="7"/>
    <n v="2"/>
    <n v="3"/>
    <n v="5"/>
    <n v="0"/>
    <n v="1"/>
    <n v="4"/>
    <x v="1"/>
    <x v="0"/>
    <x v="2"/>
  </r>
  <r>
    <n v="19"/>
    <s v="No"/>
    <s v="Travel_Rarely"/>
    <n v="1181"/>
    <x v="1"/>
    <n v="3"/>
    <n v="1"/>
    <s v="Medical"/>
    <n v="1"/>
    <n v="201"/>
    <n v="2"/>
    <x v="0"/>
    <n v="79"/>
    <n v="3"/>
    <n v="1"/>
    <x v="2"/>
    <x v="1"/>
    <s v="Single"/>
    <n v="1483"/>
    <n v="16102"/>
    <n v="1"/>
    <s v="Y"/>
    <s v="No"/>
    <n v="14"/>
    <n v="3"/>
    <n v="4"/>
    <n v="80"/>
    <n v="0"/>
    <n v="1"/>
    <n v="3"/>
    <n v="3"/>
    <n v="1"/>
    <n v="0"/>
    <n v="0"/>
    <n v="0"/>
    <x v="1"/>
    <x v="3"/>
    <x v="1"/>
  </r>
  <r>
    <n v="40"/>
    <s v="No"/>
    <s v="Travel_Frequently"/>
    <n v="1395"/>
    <x v="1"/>
    <n v="26"/>
    <n v="3"/>
    <s v="Medical"/>
    <n v="1"/>
    <n v="202"/>
    <n v="2"/>
    <x v="0"/>
    <n v="54"/>
    <n v="3"/>
    <n v="2"/>
    <x v="1"/>
    <x v="1"/>
    <s v="Divorced"/>
    <n v="5605"/>
    <n v="8504"/>
    <n v="1"/>
    <s v="Y"/>
    <s v="No"/>
    <n v="11"/>
    <n v="3"/>
    <n v="1"/>
    <n v="80"/>
    <n v="1"/>
    <n v="20"/>
    <n v="2"/>
    <n v="3"/>
    <n v="20"/>
    <n v="7"/>
    <n v="2"/>
    <n v="13"/>
    <x v="1"/>
    <x v="0"/>
    <x v="3"/>
  </r>
  <r>
    <n v="35"/>
    <s v="No"/>
    <s v="Travel_Rarely"/>
    <n v="662"/>
    <x v="0"/>
    <n v="1"/>
    <n v="5"/>
    <s v="Marketing"/>
    <n v="1"/>
    <n v="204"/>
    <n v="3"/>
    <x v="1"/>
    <n v="94"/>
    <n v="3"/>
    <n v="3"/>
    <x v="0"/>
    <x v="1"/>
    <s v="Married"/>
    <n v="7295"/>
    <n v="11439"/>
    <n v="1"/>
    <s v="Y"/>
    <s v="No"/>
    <n v="13"/>
    <n v="3"/>
    <n v="1"/>
    <n v="80"/>
    <n v="2"/>
    <n v="10"/>
    <n v="3"/>
    <n v="3"/>
    <n v="10"/>
    <n v="8"/>
    <n v="0"/>
    <n v="6"/>
    <x v="1"/>
    <x v="2"/>
    <x v="0"/>
  </r>
  <r>
    <n v="53"/>
    <s v="No"/>
    <s v="Travel_Rarely"/>
    <n v="1436"/>
    <x v="0"/>
    <n v="6"/>
    <n v="2"/>
    <s v="Marketing"/>
    <n v="1"/>
    <n v="205"/>
    <n v="2"/>
    <x v="1"/>
    <n v="34"/>
    <n v="3"/>
    <n v="2"/>
    <x v="6"/>
    <x v="2"/>
    <s v="Married"/>
    <n v="2306"/>
    <n v="16047"/>
    <n v="2"/>
    <s v="Y"/>
    <s v="Yes"/>
    <n v="20"/>
    <n v="4"/>
    <n v="4"/>
    <n v="80"/>
    <n v="1"/>
    <n v="13"/>
    <n v="3"/>
    <n v="1"/>
    <n v="7"/>
    <n v="7"/>
    <n v="4"/>
    <n v="5"/>
    <x v="1"/>
    <x v="1"/>
    <x v="0"/>
  </r>
  <r>
    <n v="45"/>
    <s v="No"/>
    <s v="Travel_Rarely"/>
    <n v="194"/>
    <x v="1"/>
    <n v="9"/>
    <n v="3"/>
    <s v="Life Sciences"/>
    <n v="1"/>
    <n v="206"/>
    <n v="2"/>
    <x v="1"/>
    <n v="60"/>
    <n v="3"/>
    <n v="2"/>
    <x v="2"/>
    <x v="1"/>
    <s v="Divorced"/>
    <n v="2348"/>
    <n v="10901"/>
    <n v="8"/>
    <s v="Y"/>
    <s v="No"/>
    <n v="18"/>
    <n v="3"/>
    <n v="3"/>
    <n v="80"/>
    <n v="1"/>
    <n v="20"/>
    <n v="2"/>
    <n v="1"/>
    <n v="17"/>
    <n v="9"/>
    <n v="0"/>
    <n v="15"/>
    <x v="1"/>
    <x v="0"/>
    <x v="3"/>
  </r>
  <r>
    <n v="32"/>
    <s v="No"/>
    <s v="Travel_Frequently"/>
    <n v="967"/>
    <x v="0"/>
    <n v="8"/>
    <n v="3"/>
    <s v="Marketing"/>
    <n v="1"/>
    <n v="207"/>
    <n v="2"/>
    <x v="0"/>
    <n v="43"/>
    <n v="3"/>
    <n v="3"/>
    <x v="0"/>
    <x v="0"/>
    <s v="Single"/>
    <n v="8998"/>
    <n v="15589"/>
    <n v="1"/>
    <s v="Y"/>
    <s v="No"/>
    <n v="14"/>
    <n v="3"/>
    <n v="4"/>
    <n v="80"/>
    <n v="0"/>
    <n v="9"/>
    <n v="2"/>
    <n v="3"/>
    <n v="9"/>
    <n v="8"/>
    <n v="3"/>
    <n v="7"/>
    <x v="1"/>
    <x v="2"/>
    <x v="0"/>
  </r>
  <r>
    <n v="29"/>
    <s v="No"/>
    <s v="Non-Travel"/>
    <n v="1496"/>
    <x v="1"/>
    <n v="1"/>
    <n v="1"/>
    <s v="Technical Degree"/>
    <n v="1"/>
    <n v="208"/>
    <n v="4"/>
    <x v="1"/>
    <n v="41"/>
    <n v="3"/>
    <n v="2"/>
    <x v="3"/>
    <x v="2"/>
    <s v="Married"/>
    <n v="4319"/>
    <n v="26283"/>
    <n v="1"/>
    <s v="Y"/>
    <s v="No"/>
    <n v="13"/>
    <n v="3"/>
    <n v="1"/>
    <n v="80"/>
    <n v="1"/>
    <n v="10"/>
    <n v="1"/>
    <n v="3"/>
    <n v="10"/>
    <n v="7"/>
    <n v="0"/>
    <n v="9"/>
    <x v="1"/>
    <x v="2"/>
    <x v="0"/>
  </r>
  <r>
    <n v="51"/>
    <s v="No"/>
    <s v="Travel_Rarely"/>
    <n v="1169"/>
    <x v="1"/>
    <n v="7"/>
    <n v="4"/>
    <s v="Medical"/>
    <n v="1"/>
    <n v="211"/>
    <n v="2"/>
    <x v="1"/>
    <n v="34"/>
    <n v="2"/>
    <n v="2"/>
    <x v="3"/>
    <x v="2"/>
    <s v="Married"/>
    <n v="6132"/>
    <n v="13983"/>
    <n v="2"/>
    <s v="Y"/>
    <s v="No"/>
    <n v="17"/>
    <n v="3"/>
    <n v="3"/>
    <n v="80"/>
    <n v="0"/>
    <n v="10"/>
    <n v="2"/>
    <n v="3"/>
    <n v="1"/>
    <n v="0"/>
    <n v="0"/>
    <n v="0"/>
    <x v="1"/>
    <x v="1"/>
    <x v="1"/>
  </r>
  <r>
    <n v="58"/>
    <s v="No"/>
    <s v="Travel_Rarely"/>
    <n v="1145"/>
    <x v="1"/>
    <n v="9"/>
    <n v="3"/>
    <s v="Medical"/>
    <n v="1"/>
    <n v="214"/>
    <n v="2"/>
    <x v="0"/>
    <n v="75"/>
    <n v="2"/>
    <n v="1"/>
    <x v="1"/>
    <x v="1"/>
    <s v="Married"/>
    <n v="3346"/>
    <n v="11873"/>
    <n v="4"/>
    <s v="Y"/>
    <s v="Yes"/>
    <n v="20"/>
    <n v="4"/>
    <n v="2"/>
    <n v="80"/>
    <n v="1"/>
    <n v="9"/>
    <n v="3"/>
    <n v="2"/>
    <n v="1"/>
    <n v="0"/>
    <n v="0"/>
    <n v="0"/>
    <x v="1"/>
    <x v="1"/>
    <x v="1"/>
  </r>
  <r>
    <n v="40"/>
    <s v="No"/>
    <s v="Travel_Rarely"/>
    <n v="630"/>
    <x v="0"/>
    <n v="4"/>
    <n v="4"/>
    <s v="Marketing"/>
    <n v="1"/>
    <n v="215"/>
    <n v="3"/>
    <x v="1"/>
    <n v="67"/>
    <n v="2"/>
    <n v="3"/>
    <x v="0"/>
    <x v="0"/>
    <s v="Married"/>
    <n v="10855"/>
    <n v="8552"/>
    <n v="7"/>
    <s v="Y"/>
    <s v="No"/>
    <n v="11"/>
    <n v="3"/>
    <n v="1"/>
    <n v="80"/>
    <n v="1"/>
    <n v="15"/>
    <n v="2"/>
    <n v="2"/>
    <n v="12"/>
    <n v="11"/>
    <n v="2"/>
    <n v="11"/>
    <x v="1"/>
    <x v="0"/>
    <x v="3"/>
  </r>
  <r>
    <n v="34"/>
    <s v="No"/>
    <s v="Travel_Frequently"/>
    <n v="303"/>
    <x v="0"/>
    <n v="2"/>
    <n v="4"/>
    <s v="Marketing"/>
    <n v="1"/>
    <n v="216"/>
    <n v="3"/>
    <x v="0"/>
    <n v="75"/>
    <n v="3"/>
    <n v="1"/>
    <x v="6"/>
    <x v="2"/>
    <s v="Married"/>
    <n v="2231"/>
    <n v="11314"/>
    <n v="6"/>
    <s v="Y"/>
    <s v="No"/>
    <n v="18"/>
    <n v="3"/>
    <n v="4"/>
    <n v="80"/>
    <n v="1"/>
    <n v="6"/>
    <n v="3"/>
    <n v="3"/>
    <n v="4"/>
    <n v="3"/>
    <n v="1"/>
    <n v="2"/>
    <x v="1"/>
    <x v="2"/>
    <x v="2"/>
  </r>
  <r>
    <n v="22"/>
    <s v="No"/>
    <s v="Travel_Rarely"/>
    <n v="1256"/>
    <x v="1"/>
    <n v="19"/>
    <n v="1"/>
    <s v="Medical"/>
    <n v="1"/>
    <n v="217"/>
    <n v="3"/>
    <x v="1"/>
    <n v="80"/>
    <n v="3"/>
    <n v="1"/>
    <x v="1"/>
    <x v="0"/>
    <s v="Married"/>
    <n v="2323"/>
    <n v="11992"/>
    <n v="1"/>
    <s v="Y"/>
    <s v="No"/>
    <n v="24"/>
    <n v="4"/>
    <n v="1"/>
    <n v="80"/>
    <n v="2"/>
    <n v="2"/>
    <n v="6"/>
    <n v="3"/>
    <n v="2"/>
    <n v="2"/>
    <n v="2"/>
    <n v="2"/>
    <x v="1"/>
    <x v="3"/>
    <x v="1"/>
  </r>
  <r>
    <n v="27"/>
    <s v="No"/>
    <s v="Non-Travel"/>
    <n v="691"/>
    <x v="1"/>
    <n v="9"/>
    <n v="3"/>
    <s v="Medical"/>
    <n v="1"/>
    <n v="218"/>
    <n v="4"/>
    <x v="1"/>
    <n v="57"/>
    <n v="3"/>
    <n v="1"/>
    <x v="1"/>
    <x v="1"/>
    <s v="Divorced"/>
    <n v="2024"/>
    <n v="5970"/>
    <n v="6"/>
    <s v="Y"/>
    <s v="No"/>
    <n v="18"/>
    <n v="3"/>
    <n v="4"/>
    <n v="80"/>
    <n v="1"/>
    <n v="6"/>
    <n v="1"/>
    <n v="1"/>
    <n v="2"/>
    <n v="2"/>
    <n v="2"/>
    <n v="2"/>
    <x v="1"/>
    <x v="2"/>
    <x v="1"/>
  </r>
  <r>
    <n v="28"/>
    <s v="No"/>
    <s v="Travel_Rarely"/>
    <n v="440"/>
    <x v="1"/>
    <n v="21"/>
    <n v="3"/>
    <s v="Medical"/>
    <n v="1"/>
    <n v="221"/>
    <n v="3"/>
    <x v="1"/>
    <n v="42"/>
    <n v="3"/>
    <n v="1"/>
    <x v="1"/>
    <x v="0"/>
    <s v="Married"/>
    <n v="2713"/>
    <n v="6672"/>
    <n v="1"/>
    <s v="Y"/>
    <s v="No"/>
    <n v="11"/>
    <n v="3"/>
    <n v="3"/>
    <n v="80"/>
    <n v="1"/>
    <n v="5"/>
    <n v="2"/>
    <n v="1"/>
    <n v="5"/>
    <n v="2"/>
    <n v="0"/>
    <n v="2"/>
    <x v="1"/>
    <x v="2"/>
    <x v="2"/>
  </r>
  <r>
    <n v="57"/>
    <s v="No"/>
    <s v="Travel_Rarely"/>
    <n v="334"/>
    <x v="1"/>
    <n v="24"/>
    <n v="2"/>
    <s v="Life Sciences"/>
    <n v="1"/>
    <n v="223"/>
    <n v="3"/>
    <x v="1"/>
    <n v="83"/>
    <n v="4"/>
    <n v="3"/>
    <x v="4"/>
    <x v="0"/>
    <s v="Divorced"/>
    <n v="9439"/>
    <n v="23402"/>
    <n v="3"/>
    <s v="Y"/>
    <s v="Yes"/>
    <n v="16"/>
    <n v="3"/>
    <n v="2"/>
    <n v="80"/>
    <n v="1"/>
    <n v="12"/>
    <n v="2"/>
    <n v="1"/>
    <n v="5"/>
    <n v="3"/>
    <n v="1"/>
    <n v="4"/>
    <x v="1"/>
    <x v="1"/>
    <x v="2"/>
  </r>
  <r>
    <n v="27"/>
    <s v="No"/>
    <s v="Non-Travel"/>
    <n v="1450"/>
    <x v="1"/>
    <n v="3"/>
    <n v="3"/>
    <s v="Medical"/>
    <n v="1"/>
    <n v="224"/>
    <n v="3"/>
    <x v="1"/>
    <n v="79"/>
    <n v="2"/>
    <n v="1"/>
    <x v="1"/>
    <x v="2"/>
    <s v="Divorced"/>
    <n v="2566"/>
    <n v="25326"/>
    <n v="1"/>
    <s v="Y"/>
    <s v="Yes"/>
    <n v="15"/>
    <n v="3"/>
    <n v="4"/>
    <n v="80"/>
    <n v="1"/>
    <n v="1"/>
    <n v="2"/>
    <n v="2"/>
    <n v="1"/>
    <n v="1"/>
    <n v="0"/>
    <n v="1"/>
    <x v="1"/>
    <x v="2"/>
    <x v="1"/>
  </r>
  <r>
    <n v="50"/>
    <s v="No"/>
    <s v="Travel_Rarely"/>
    <n v="1452"/>
    <x v="1"/>
    <n v="11"/>
    <n v="3"/>
    <s v="Life Sciences"/>
    <n v="1"/>
    <n v="226"/>
    <n v="3"/>
    <x v="0"/>
    <n v="53"/>
    <n v="3"/>
    <n v="5"/>
    <x v="5"/>
    <x v="1"/>
    <s v="Single"/>
    <n v="19926"/>
    <n v="17053"/>
    <n v="3"/>
    <s v="Y"/>
    <s v="No"/>
    <n v="15"/>
    <n v="3"/>
    <n v="2"/>
    <n v="80"/>
    <n v="0"/>
    <n v="21"/>
    <n v="5"/>
    <n v="3"/>
    <n v="5"/>
    <n v="4"/>
    <n v="4"/>
    <n v="4"/>
    <x v="1"/>
    <x v="1"/>
    <x v="2"/>
  </r>
  <r>
    <n v="41"/>
    <s v="No"/>
    <s v="Travel_Rarely"/>
    <n v="465"/>
    <x v="1"/>
    <n v="14"/>
    <n v="3"/>
    <s v="Life Sciences"/>
    <n v="1"/>
    <n v="227"/>
    <n v="1"/>
    <x v="1"/>
    <n v="56"/>
    <n v="3"/>
    <n v="1"/>
    <x v="1"/>
    <x v="2"/>
    <s v="Divorced"/>
    <n v="2451"/>
    <n v="4609"/>
    <n v="4"/>
    <s v="Y"/>
    <s v="No"/>
    <n v="12"/>
    <n v="3"/>
    <n v="1"/>
    <n v="80"/>
    <n v="1"/>
    <n v="13"/>
    <n v="2"/>
    <n v="3"/>
    <n v="9"/>
    <n v="8"/>
    <n v="1"/>
    <n v="8"/>
    <x v="1"/>
    <x v="0"/>
    <x v="0"/>
  </r>
  <r>
    <n v="30"/>
    <s v="No"/>
    <s v="Travel_Rarely"/>
    <n v="1339"/>
    <x v="0"/>
    <n v="5"/>
    <n v="3"/>
    <s v="Life Sciences"/>
    <n v="1"/>
    <n v="228"/>
    <n v="2"/>
    <x v="0"/>
    <n v="41"/>
    <n v="3"/>
    <n v="3"/>
    <x v="0"/>
    <x v="0"/>
    <s v="Married"/>
    <n v="9419"/>
    <n v="8053"/>
    <n v="2"/>
    <s v="Y"/>
    <s v="No"/>
    <n v="12"/>
    <n v="3"/>
    <n v="3"/>
    <n v="80"/>
    <n v="1"/>
    <n v="12"/>
    <n v="2"/>
    <n v="3"/>
    <n v="10"/>
    <n v="9"/>
    <n v="7"/>
    <n v="4"/>
    <x v="1"/>
    <x v="2"/>
    <x v="0"/>
  </r>
  <r>
    <n v="38"/>
    <s v="No"/>
    <s v="Travel_Rarely"/>
    <n v="702"/>
    <x v="0"/>
    <n v="1"/>
    <n v="4"/>
    <s v="Life Sciences"/>
    <n v="1"/>
    <n v="230"/>
    <n v="1"/>
    <x v="0"/>
    <n v="59"/>
    <n v="2"/>
    <n v="2"/>
    <x v="0"/>
    <x v="0"/>
    <s v="Single"/>
    <n v="8686"/>
    <n v="12930"/>
    <n v="4"/>
    <s v="Y"/>
    <s v="No"/>
    <n v="22"/>
    <n v="4"/>
    <n v="3"/>
    <n v="80"/>
    <n v="0"/>
    <n v="12"/>
    <n v="2"/>
    <n v="4"/>
    <n v="8"/>
    <n v="3"/>
    <n v="0"/>
    <n v="7"/>
    <x v="1"/>
    <x v="0"/>
    <x v="0"/>
  </r>
  <r>
    <n v="32"/>
    <s v="No"/>
    <s v="Travel_Rarely"/>
    <n v="120"/>
    <x v="1"/>
    <n v="6"/>
    <n v="5"/>
    <s v="Life Sciences"/>
    <n v="1"/>
    <n v="231"/>
    <n v="3"/>
    <x v="1"/>
    <n v="43"/>
    <n v="3"/>
    <n v="1"/>
    <x v="1"/>
    <x v="2"/>
    <s v="Single"/>
    <n v="3038"/>
    <n v="12430"/>
    <n v="3"/>
    <s v="Y"/>
    <s v="No"/>
    <n v="20"/>
    <n v="4"/>
    <n v="1"/>
    <n v="80"/>
    <n v="0"/>
    <n v="8"/>
    <n v="2"/>
    <n v="3"/>
    <n v="5"/>
    <n v="4"/>
    <n v="1"/>
    <n v="4"/>
    <x v="1"/>
    <x v="2"/>
    <x v="2"/>
  </r>
  <r>
    <n v="27"/>
    <s v="No"/>
    <s v="Travel_Rarely"/>
    <n v="1157"/>
    <x v="1"/>
    <n v="17"/>
    <n v="3"/>
    <s v="Technical Degree"/>
    <n v="1"/>
    <n v="233"/>
    <n v="3"/>
    <x v="1"/>
    <n v="51"/>
    <n v="3"/>
    <n v="1"/>
    <x v="1"/>
    <x v="1"/>
    <s v="Married"/>
    <n v="3058"/>
    <n v="13364"/>
    <n v="0"/>
    <s v="Y"/>
    <s v="Yes"/>
    <n v="16"/>
    <n v="3"/>
    <n v="4"/>
    <n v="80"/>
    <n v="1"/>
    <n v="6"/>
    <n v="3"/>
    <n v="2"/>
    <n v="5"/>
    <n v="2"/>
    <n v="1"/>
    <n v="1"/>
    <x v="1"/>
    <x v="2"/>
    <x v="2"/>
  </r>
  <r>
    <n v="19"/>
    <s v="Yes"/>
    <s v="Travel_Frequently"/>
    <n v="602"/>
    <x v="0"/>
    <n v="1"/>
    <n v="1"/>
    <s v="Technical Degree"/>
    <n v="1"/>
    <n v="235"/>
    <n v="3"/>
    <x v="0"/>
    <n v="100"/>
    <n v="1"/>
    <n v="1"/>
    <x v="6"/>
    <x v="3"/>
    <s v="Single"/>
    <n v="2325"/>
    <n v="20989"/>
    <n v="0"/>
    <s v="Y"/>
    <s v="No"/>
    <n v="21"/>
    <n v="4"/>
    <n v="1"/>
    <n v="80"/>
    <n v="0"/>
    <n v="1"/>
    <n v="5"/>
    <n v="4"/>
    <n v="0"/>
    <n v="0"/>
    <n v="0"/>
    <n v="0"/>
    <x v="0"/>
    <x v="3"/>
    <x v="1"/>
  </r>
  <r>
    <n v="36"/>
    <s v="No"/>
    <s v="Travel_Frequently"/>
    <n v="1480"/>
    <x v="1"/>
    <n v="3"/>
    <n v="2"/>
    <s v="Medical"/>
    <n v="1"/>
    <n v="238"/>
    <n v="4"/>
    <x v="1"/>
    <n v="30"/>
    <n v="3"/>
    <n v="1"/>
    <x v="2"/>
    <x v="1"/>
    <s v="Single"/>
    <n v="2088"/>
    <n v="15062"/>
    <n v="4"/>
    <s v="Y"/>
    <s v="No"/>
    <n v="12"/>
    <n v="3"/>
    <n v="3"/>
    <n v="80"/>
    <n v="0"/>
    <n v="13"/>
    <n v="3"/>
    <n v="2"/>
    <n v="8"/>
    <n v="7"/>
    <n v="7"/>
    <n v="2"/>
    <x v="1"/>
    <x v="0"/>
    <x v="0"/>
  </r>
  <r>
    <n v="30"/>
    <s v="No"/>
    <s v="Non-Travel"/>
    <n v="111"/>
    <x v="1"/>
    <n v="9"/>
    <n v="3"/>
    <s v="Medical"/>
    <n v="1"/>
    <n v="239"/>
    <n v="3"/>
    <x v="1"/>
    <n v="66"/>
    <n v="3"/>
    <n v="2"/>
    <x v="2"/>
    <x v="3"/>
    <s v="Divorced"/>
    <n v="3072"/>
    <n v="11012"/>
    <n v="1"/>
    <s v="Y"/>
    <s v="No"/>
    <n v="11"/>
    <n v="3"/>
    <n v="3"/>
    <n v="80"/>
    <n v="2"/>
    <n v="12"/>
    <n v="4"/>
    <n v="3"/>
    <n v="12"/>
    <n v="9"/>
    <n v="6"/>
    <n v="10"/>
    <x v="1"/>
    <x v="2"/>
    <x v="3"/>
  </r>
  <r>
    <n v="45"/>
    <s v="No"/>
    <s v="Travel_Rarely"/>
    <n v="1268"/>
    <x v="0"/>
    <n v="4"/>
    <n v="2"/>
    <s v="Life Sciences"/>
    <n v="1"/>
    <n v="240"/>
    <n v="3"/>
    <x v="0"/>
    <n v="30"/>
    <n v="3"/>
    <n v="2"/>
    <x v="0"/>
    <x v="3"/>
    <s v="Divorced"/>
    <n v="5006"/>
    <n v="6319"/>
    <n v="4"/>
    <s v="Y"/>
    <s v="Yes"/>
    <n v="11"/>
    <n v="3"/>
    <n v="1"/>
    <n v="80"/>
    <n v="1"/>
    <n v="9"/>
    <n v="3"/>
    <n v="4"/>
    <n v="5"/>
    <n v="4"/>
    <n v="0"/>
    <n v="3"/>
    <x v="1"/>
    <x v="0"/>
    <x v="2"/>
  </r>
  <r>
    <n v="56"/>
    <s v="No"/>
    <s v="Travel_Rarely"/>
    <n v="713"/>
    <x v="1"/>
    <n v="8"/>
    <n v="3"/>
    <s v="Life Sciences"/>
    <n v="1"/>
    <n v="241"/>
    <n v="3"/>
    <x v="0"/>
    <n v="67"/>
    <n v="3"/>
    <n v="1"/>
    <x v="1"/>
    <x v="3"/>
    <s v="Divorced"/>
    <n v="4257"/>
    <n v="13939"/>
    <n v="4"/>
    <s v="Y"/>
    <s v="Yes"/>
    <n v="18"/>
    <n v="3"/>
    <n v="3"/>
    <n v="80"/>
    <n v="1"/>
    <n v="19"/>
    <n v="3"/>
    <n v="3"/>
    <n v="2"/>
    <n v="2"/>
    <n v="2"/>
    <n v="2"/>
    <x v="1"/>
    <x v="1"/>
    <x v="1"/>
  </r>
  <r>
    <n v="33"/>
    <s v="No"/>
    <s v="Travel_Rarely"/>
    <n v="134"/>
    <x v="1"/>
    <n v="2"/>
    <n v="3"/>
    <s v="Life Sciences"/>
    <n v="1"/>
    <n v="242"/>
    <n v="3"/>
    <x v="1"/>
    <n v="90"/>
    <n v="3"/>
    <n v="1"/>
    <x v="1"/>
    <x v="0"/>
    <s v="Single"/>
    <n v="2500"/>
    <n v="10515"/>
    <n v="0"/>
    <s v="Y"/>
    <s v="No"/>
    <n v="14"/>
    <n v="3"/>
    <n v="1"/>
    <n v="80"/>
    <n v="0"/>
    <n v="4"/>
    <n v="2"/>
    <n v="4"/>
    <n v="3"/>
    <n v="1"/>
    <n v="0"/>
    <n v="2"/>
    <x v="1"/>
    <x v="2"/>
    <x v="2"/>
  </r>
  <r>
    <n v="19"/>
    <s v="Yes"/>
    <s v="Travel_Rarely"/>
    <n v="303"/>
    <x v="1"/>
    <n v="2"/>
    <n v="3"/>
    <s v="Life Sciences"/>
    <n v="1"/>
    <n v="243"/>
    <n v="2"/>
    <x v="1"/>
    <n v="47"/>
    <n v="2"/>
    <n v="1"/>
    <x v="2"/>
    <x v="0"/>
    <s v="Single"/>
    <n v="1102"/>
    <n v="9241"/>
    <n v="1"/>
    <s v="Y"/>
    <s v="No"/>
    <n v="22"/>
    <n v="4"/>
    <n v="3"/>
    <n v="80"/>
    <n v="0"/>
    <n v="1"/>
    <n v="3"/>
    <n v="2"/>
    <n v="1"/>
    <n v="0"/>
    <n v="1"/>
    <n v="0"/>
    <x v="0"/>
    <x v="3"/>
    <x v="1"/>
  </r>
  <r>
    <n v="46"/>
    <s v="No"/>
    <s v="Travel_Rarely"/>
    <n v="526"/>
    <x v="0"/>
    <n v="1"/>
    <n v="2"/>
    <s v="Marketing"/>
    <n v="1"/>
    <n v="244"/>
    <n v="2"/>
    <x v="0"/>
    <n v="92"/>
    <n v="3"/>
    <n v="3"/>
    <x v="0"/>
    <x v="3"/>
    <s v="Divorced"/>
    <n v="10453"/>
    <n v="2137"/>
    <n v="1"/>
    <s v="Y"/>
    <s v="No"/>
    <n v="25"/>
    <n v="4"/>
    <n v="3"/>
    <n v="80"/>
    <n v="3"/>
    <n v="24"/>
    <n v="2"/>
    <n v="3"/>
    <n v="24"/>
    <n v="13"/>
    <n v="15"/>
    <n v="7"/>
    <x v="1"/>
    <x v="1"/>
    <x v="3"/>
  </r>
  <r>
    <n v="38"/>
    <s v="No"/>
    <s v="Travel_Rarely"/>
    <n v="1380"/>
    <x v="1"/>
    <n v="9"/>
    <n v="2"/>
    <s v="Life Sciences"/>
    <n v="1"/>
    <n v="245"/>
    <n v="3"/>
    <x v="0"/>
    <n v="75"/>
    <n v="3"/>
    <n v="1"/>
    <x v="2"/>
    <x v="0"/>
    <s v="Single"/>
    <n v="2288"/>
    <n v="6319"/>
    <n v="1"/>
    <s v="Y"/>
    <s v="No"/>
    <n v="12"/>
    <n v="3"/>
    <n v="3"/>
    <n v="80"/>
    <n v="0"/>
    <n v="2"/>
    <n v="3"/>
    <n v="3"/>
    <n v="2"/>
    <n v="2"/>
    <n v="2"/>
    <n v="1"/>
    <x v="1"/>
    <x v="0"/>
    <x v="1"/>
  </r>
  <r>
    <n v="31"/>
    <s v="No"/>
    <s v="Travel_Rarely"/>
    <n v="140"/>
    <x v="1"/>
    <n v="12"/>
    <n v="1"/>
    <s v="Medical"/>
    <n v="1"/>
    <n v="246"/>
    <n v="3"/>
    <x v="0"/>
    <n v="95"/>
    <n v="3"/>
    <n v="1"/>
    <x v="1"/>
    <x v="0"/>
    <s v="Married"/>
    <n v="3929"/>
    <n v="6984"/>
    <n v="8"/>
    <s v="Y"/>
    <s v="Yes"/>
    <n v="23"/>
    <n v="4"/>
    <n v="3"/>
    <n v="80"/>
    <n v="1"/>
    <n v="7"/>
    <n v="0"/>
    <n v="3"/>
    <n v="4"/>
    <n v="2"/>
    <n v="0"/>
    <n v="2"/>
    <x v="1"/>
    <x v="2"/>
    <x v="2"/>
  </r>
  <r>
    <n v="34"/>
    <s v="No"/>
    <s v="Travel_Rarely"/>
    <n v="629"/>
    <x v="1"/>
    <n v="27"/>
    <n v="2"/>
    <s v="Medical"/>
    <n v="1"/>
    <n v="247"/>
    <n v="4"/>
    <x v="0"/>
    <n v="95"/>
    <n v="3"/>
    <n v="1"/>
    <x v="1"/>
    <x v="1"/>
    <s v="Single"/>
    <n v="2311"/>
    <n v="5711"/>
    <n v="2"/>
    <s v="Y"/>
    <s v="No"/>
    <n v="15"/>
    <n v="3"/>
    <n v="4"/>
    <n v="80"/>
    <n v="0"/>
    <n v="9"/>
    <n v="3"/>
    <n v="3"/>
    <n v="3"/>
    <n v="2"/>
    <n v="1"/>
    <n v="2"/>
    <x v="1"/>
    <x v="2"/>
    <x v="2"/>
  </r>
  <r>
    <n v="41"/>
    <s v="Yes"/>
    <s v="Travel_Rarely"/>
    <n v="1356"/>
    <x v="0"/>
    <n v="20"/>
    <n v="2"/>
    <s v="Marketing"/>
    <n v="1"/>
    <n v="248"/>
    <n v="2"/>
    <x v="0"/>
    <n v="70"/>
    <n v="3"/>
    <n v="1"/>
    <x v="6"/>
    <x v="1"/>
    <s v="Single"/>
    <n v="3140"/>
    <n v="21728"/>
    <n v="1"/>
    <s v="Y"/>
    <s v="Yes"/>
    <n v="22"/>
    <n v="4"/>
    <n v="4"/>
    <n v="80"/>
    <n v="0"/>
    <n v="4"/>
    <n v="5"/>
    <n v="2"/>
    <n v="4"/>
    <n v="3"/>
    <n v="0"/>
    <n v="2"/>
    <x v="0"/>
    <x v="0"/>
    <x v="2"/>
  </r>
  <r>
    <n v="50"/>
    <s v="No"/>
    <s v="Travel_Rarely"/>
    <n v="328"/>
    <x v="1"/>
    <n v="1"/>
    <n v="3"/>
    <s v="Medical"/>
    <n v="1"/>
    <n v="249"/>
    <n v="3"/>
    <x v="1"/>
    <n v="86"/>
    <n v="2"/>
    <n v="1"/>
    <x v="2"/>
    <x v="2"/>
    <s v="Married"/>
    <n v="3690"/>
    <n v="3425"/>
    <n v="2"/>
    <s v="Y"/>
    <s v="No"/>
    <n v="15"/>
    <n v="3"/>
    <n v="4"/>
    <n v="80"/>
    <n v="1"/>
    <n v="5"/>
    <n v="2"/>
    <n v="2"/>
    <n v="3"/>
    <n v="2"/>
    <n v="0"/>
    <n v="2"/>
    <x v="1"/>
    <x v="1"/>
    <x v="2"/>
  </r>
  <r>
    <n v="53"/>
    <s v="No"/>
    <s v="Travel_Rarely"/>
    <n v="1084"/>
    <x v="1"/>
    <n v="13"/>
    <n v="2"/>
    <s v="Medical"/>
    <n v="1"/>
    <n v="250"/>
    <n v="4"/>
    <x v="0"/>
    <n v="57"/>
    <n v="4"/>
    <n v="2"/>
    <x v="3"/>
    <x v="3"/>
    <s v="Divorced"/>
    <n v="4450"/>
    <n v="26250"/>
    <n v="1"/>
    <s v="Y"/>
    <s v="No"/>
    <n v="11"/>
    <n v="3"/>
    <n v="3"/>
    <n v="80"/>
    <n v="2"/>
    <n v="5"/>
    <n v="3"/>
    <n v="3"/>
    <n v="4"/>
    <n v="2"/>
    <n v="1"/>
    <n v="3"/>
    <x v="1"/>
    <x v="1"/>
    <x v="2"/>
  </r>
  <r>
    <n v="33"/>
    <s v="No"/>
    <s v="Travel_Rarely"/>
    <n v="931"/>
    <x v="1"/>
    <n v="14"/>
    <n v="3"/>
    <s v="Medical"/>
    <n v="1"/>
    <n v="252"/>
    <n v="4"/>
    <x v="0"/>
    <n v="72"/>
    <n v="3"/>
    <n v="1"/>
    <x v="1"/>
    <x v="1"/>
    <s v="Married"/>
    <n v="2756"/>
    <n v="4673"/>
    <n v="1"/>
    <s v="Y"/>
    <s v="No"/>
    <n v="13"/>
    <n v="3"/>
    <n v="4"/>
    <n v="80"/>
    <n v="1"/>
    <n v="8"/>
    <n v="5"/>
    <n v="3"/>
    <n v="8"/>
    <n v="7"/>
    <n v="1"/>
    <n v="6"/>
    <x v="1"/>
    <x v="2"/>
    <x v="0"/>
  </r>
  <r>
    <n v="40"/>
    <s v="No"/>
    <s v="Travel_Rarely"/>
    <n v="989"/>
    <x v="1"/>
    <n v="4"/>
    <n v="1"/>
    <s v="Medical"/>
    <n v="1"/>
    <n v="253"/>
    <n v="4"/>
    <x v="0"/>
    <n v="46"/>
    <n v="3"/>
    <n v="5"/>
    <x v="5"/>
    <x v="2"/>
    <s v="Married"/>
    <n v="19033"/>
    <n v="6499"/>
    <n v="1"/>
    <s v="Y"/>
    <s v="No"/>
    <n v="14"/>
    <n v="3"/>
    <n v="2"/>
    <n v="80"/>
    <n v="1"/>
    <n v="21"/>
    <n v="2"/>
    <n v="3"/>
    <n v="20"/>
    <n v="8"/>
    <n v="9"/>
    <n v="9"/>
    <x v="1"/>
    <x v="0"/>
    <x v="3"/>
  </r>
  <r>
    <n v="55"/>
    <s v="No"/>
    <s v="Travel_Rarely"/>
    <n v="692"/>
    <x v="1"/>
    <n v="14"/>
    <n v="4"/>
    <s v="Medical"/>
    <n v="1"/>
    <n v="254"/>
    <n v="3"/>
    <x v="1"/>
    <n v="61"/>
    <n v="4"/>
    <n v="5"/>
    <x v="7"/>
    <x v="1"/>
    <s v="Single"/>
    <n v="18722"/>
    <n v="13339"/>
    <n v="8"/>
    <s v="Y"/>
    <s v="No"/>
    <n v="11"/>
    <n v="3"/>
    <n v="4"/>
    <n v="80"/>
    <n v="0"/>
    <n v="36"/>
    <n v="3"/>
    <n v="3"/>
    <n v="24"/>
    <n v="15"/>
    <n v="2"/>
    <n v="15"/>
    <x v="1"/>
    <x v="1"/>
    <x v="3"/>
  </r>
  <r>
    <n v="34"/>
    <s v="No"/>
    <s v="Travel_Frequently"/>
    <n v="1069"/>
    <x v="1"/>
    <n v="2"/>
    <n v="1"/>
    <s v="Life Sciences"/>
    <n v="1"/>
    <n v="256"/>
    <n v="4"/>
    <x v="1"/>
    <n v="45"/>
    <n v="2"/>
    <n v="2"/>
    <x v="3"/>
    <x v="2"/>
    <s v="Married"/>
    <n v="9547"/>
    <n v="14074"/>
    <n v="1"/>
    <s v="Y"/>
    <s v="No"/>
    <n v="17"/>
    <n v="3"/>
    <n v="3"/>
    <n v="80"/>
    <n v="0"/>
    <n v="10"/>
    <n v="2"/>
    <n v="2"/>
    <n v="10"/>
    <n v="9"/>
    <n v="1"/>
    <n v="9"/>
    <x v="1"/>
    <x v="2"/>
    <x v="0"/>
  </r>
  <r>
    <n v="51"/>
    <s v="No"/>
    <s v="Travel_Rarely"/>
    <n v="313"/>
    <x v="1"/>
    <n v="3"/>
    <n v="3"/>
    <s v="Medical"/>
    <n v="1"/>
    <n v="258"/>
    <n v="4"/>
    <x v="0"/>
    <n v="98"/>
    <n v="3"/>
    <n v="4"/>
    <x v="4"/>
    <x v="1"/>
    <s v="Single"/>
    <n v="13734"/>
    <n v="7192"/>
    <n v="3"/>
    <s v="Y"/>
    <s v="No"/>
    <n v="18"/>
    <n v="3"/>
    <n v="3"/>
    <n v="80"/>
    <n v="0"/>
    <n v="21"/>
    <n v="6"/>
    <n v="3"/>
    <n v="7"/>
    <n v="7"/>
    <n v="1"/>
    <n v="0"/>
    <x v="1"/>
    <x v="1"/>
    <x v="0"/>
  </r>
  <r>
    <n v="52"/>
    <s v="No"/>
    <s v="Travel_Rarely"/>
    <n v="699"/>
    <x v="1"/>
    <n v="1"/>
    <n v="4"/>
    <s v="Life Sciences"/>
    <n v="1"/>
    <n v="259"/>
    <n v="3"/>
    <x v="1"/>
    <n v="65"/>
    <n v="2"/>
    <n v="5"/>
    <x v="5"/>
    <x v="2"/>
    <s v="Married"/>
    <n v="19999"/>
    <n v="5678"/>
    <n v="0"/>
    <s v="Y"/>
    <s v="No"/>
    <n v="14"/>
    <n v="3"/>
    <n v="1"/>
    <n v="80"/>
    <n v="1"/>
    <n v="34"/>
    <n v="5"/>
    <n v="3"/>
    <n v="33"/>
    <n v="18"/>
    <n v="11"/>
    <n v="9"/>
    <x v="1"/>
    <x v="1"/>
    <x v="3"/>
  </r>
  <r>
    <n v="27"/>
    <s v="No"/>
    <s v="Travel_Rarely"/>
    <n v="894"/>
    <x v="1"/>
    <n v="9"/>
    <n v="3"/>
    <s v="Medical"/>
    <n v="1"/>
    <n v="260"/>
    <n v="4"/>
    <x v="0"/>
    <n v="99"/>
    <n v="3"/>
    <n v="1"/>
    <x v="1"/>
    <x v="1"/>
    <s v="Single"/>
    <n v="2279"/>
    <n v="11781"/>
    <n v="1"/>
    <s v="Y"/>
    <s v="No"/>
    <n v="16"/>
    <n v="3"/>
    <n v="4"/>
    <n v="80"/>
    <n v="0"/>
    <n v="7"/>
    <n v="2"/>
    <n v="2"/>
    <n v="7"/>
    <n v="7"/>
    <n v="0"/>
    <n v="3"/>
    <x v="1"/>
    <x v="2"/>
    <x v="0"/>
  </r>
  <r>
    <n v="35"/>
    <s v="Yes"/>
    <s v="Travel_Rarely"/>
    <n v="556"/>
    <x v="1"/>
    <n v="23"/>
    <n v="2"/>
    <s v="Life Sciences"/>
    <n v="1"/>
    <n v="261"/>
    <n v="2"/>
    <x v="1"/>
    <n v="50"/>
    <n v="2"/>
    <n v="2"/>
    <x v="3"/>
    <x v="2"/>
    <s v="Married"/>
    <n v="5916"/>
    <n v="15497"/>
    <n v="3"/>
    <s v="Y"/>
    <s v="Yes"/>
    <n v="13"/>
    <n v="3"/>
    <n v="1"/>
    <n v="80"/>
    <n v="0"/>
    <n v="8"/>
    <n v="1"/>
    <n v="3"/>
    <n v="1"/>
    <n v="0"/>
    <n v="0"/>
    <n v="1"/>
    <x v="0"/>
    <x v="2"/>
    <x v="1"/>
  </r>
  <r>
    <n v="43"/>
    <s v="No"/>
    <s v="Non-Travel"/>
    <n v="1344"/>
    <x v="1"/>
    <n v="7"/>
    <n v="3"/>
    <s v="Medical"/>
    <n v="1"/>
    <n v="262"/>
    <n v="4"/>
    <x v="1"/>
    <n v="37"/>
    <n v="4"/>
    <n v="1"/>
    <x v="1"/>
    <x v="0"/>
    <s v="Divorced"/>
    <n v="2089"/>
    <n v="5228"/>
    <n v="4"/>
    <s v="Y"/>
    <s v="No"/>
    <n v="14"/>
    <n v="3"/>
    <n v="4"/>
    <n v="80"/>
    <n v="3"/>
    <n v="7"/>
    <n v="3"/>
    <n v="4"/>
    <n v="5"/>
    <n v="4"/>
    <n v="2"/>
    <n v="2"/>
    <x v="1"/>
    <x v="0"/>
    <x v="2"/>
  </r>
  <r>
    <n v="45"/>
    <s v="No"/>
    <s v="Non-Travel"/>
    <n v="1195"/>
    <x v="1"/>
    <n v="2"/>
    <n v="2"/>
    <s v="Medical"/>
    <n v="1"/>
    <n v="264"/>
    <n v="1"/>
    <x v="1"/>
    <n v="65"/>
    <n v="2"/>
    <n v="4"/>
    <x v="5"/>
    <x v="0"/>
    <s v="Married"/>
    <n v="16792"/>
    <n v="20462"/>
    <n v="9"/>
    <s v="Y"/>
    <s v="No"/>
    <n v="23"/>
    <n v="4"/>
    <n v="4"/>
    <n v="80"/>
    <n v="1"/>
    <n v="22"/>
    <n v="1"/>
    <n v="3"/>
    <n v="20"/>
    <n v="8"/>
    <n v="11"/>
    <n v="8"/>
    <x v="1"/>
    <x v="0"/>
    <x v="3"/>
  </r>
  <r>
    <n v="37"/>
    <s v="No"/>
    <s v="Travel_Rarely"/>
    <n v="290"/>
    <x v="1"/>
    <n v="21"/>
    <n v="3"/>
    <s v="Life Sciences"/>
    <n v="1"/>
    <n v="267"/>
    <n v="2"/>
    <x v="1"/>
    <n v="65"/>
    <n v="4"/>
    <n v="1"/>
    <x v="1"/>
    <x v="3"/>
    <s v="Married"/>
    <n v="3564"/>
    <n v="22977"/>
    <n v="1"/>
    <s v="Y"/>
    <s v="Yes"/>
    <n v="12"/>
    <n v="3"/>
    <n v="1"/>
    <n v="80"/>
    <n v="1"/>
    <n v="8"/>
    <n v="3"/>
    <n v="2"/>
    <n v="8"/>
    <n v="7"/>
    <n v="1"/>
    <n v="7"/>
    <x v="1"/>
    <x v="0"/>
    <x v="0"/>
  </r>
  <r>
    <n v="35"/>
    <s v="No"/>
    <s v="Travel_Frequently"/>
    <n v="138"/>
    <x v="1"/>
    <n v="2"/>
    <n v="3"/>
    <s v="Medical"/>
    <n v="1"/>
    <n v="269"/>
    <n v="2"/>
    <x v="0"/>
    <n v="37"/>
    <n v="3"/>
    <n v="2"/>
    <x v="2"/>
    <x v="1"/>
    <s v="Single"/>
    <n v="4425"/>
    <n v="15986"/>
    <n v="5"/>
    <s v="Y"/>
    <s v="No"/>
    <n v="11"/>
    <n v="3"/>
    <n v="4"/>
    <n v="80"/>
    <n v="0"/>
    <n v="10"/>
    <n v="5"/>
    <n v="3"/>
    <n v="6"/>
    <n v="2"/>
    <n v="1"/>
    <n v="2"/>
    <x v="1"/>
    <x v="2"/>
    <x v="0"/>
  </r>
  <r>
    <n v="42"/>
    <s v="No"/>
    <s v="Non-Travel"/>
    <n v="926"/>
    <x v="1"/>
    <n v="21"/>
    <n v="2"/>
    <s v="Medical"/>
    <n v="1"/>
    <n v="270"/>
    <n v="3"/>
    <x v="0"/>
    <n v="36"/>
    <n v="3"/>
    <n v="2"/>
    <x v="3"/>
    <x v="2"/>
    <s v="Divorced"/>
    <n v="5265"/>
    <n v="16439"/>
    <n v="2"/>
    <s v="Y"/>
    <s v="No"/>
    <n v="16"/>
    <n v="3"/>
    <n v="2"/>
    <n v="80"/>
    <n v="1"/>
    <n v="11"/>
    <n v="5"/>
    <n v="3"/>
    <n v="5"/>
    <n v="3"/>
    <n v="0"/>
    <n v="2"/>
    <x v="1"/>
    <x v="0"/>
    <x v="2"/>
  </r>
  <r>
    <n v="38"/>
    <s v="No"/>
    <s v="Travel_Rarely"/>
    <n v="1261"/>
    <x v="1"/>
    <n v="2"/>
    <n v="4"/>
    <s v="Life Sciences"/>
    <n v="1"/>
    <n v="271"/>
    <n v="4"/>
    <x v="1"/>
    <n v="88"/>
    <n v="3"/>
    <n v="2"/>
    <x v="3"/>
    <x v="2"/>
    <s v="Married"/>
    <n v="6553"/>
    <n v="7259"/>
    <n v="9"/>
    <s v="Y"/>
    <s v="No"/>
    <n v="14"/>
    <n v="3"/>
    <n v="2"/>
    <n v="80"/>
    <n v="0"/>
    <n v="14"/>
    <n v="3"/>
    <n v="3"/>
    <n v="1"/>
    <n v="0"/>
    <n v="0"/>
    <n v="0"/>
    <x v="1"/>
    <x v="0"/>
    <x v="1"/>
  </r>
  <r>
    <n v="38"/>
    <s v="No"/>
    <s v="Travel_Rarely"/>
    <n v="1084"/>
    <x v="1"/>
    <n v="29"/>
    <n v="3"/>
    <s v="Technical Degree"/>
    <n v="1"/>
    <n v="273"/>
    <n v="4"/>
    <x v="1"/>
    <n v="54"/>
    <n v="3"/>
    <n v="2"/>
    <x v="3"/>
    <x v="0"/>
    <s v="Married"/>
    <n v="6261"/>
    <n v="4185"/>
    <n v="3"/>
    <s v="Y"/>
    <s v="No"/>
    <n v="18"/>
    <n v="3"/>
    <n v="1"/>
    <n v="80"/>
    <n v="1"/>
    <n v="9"/>
    <n v="3"/>
    <n v="1"/>
    <n v="7"/>
    <n v="7"/>
    <n v="1"/>
    <n v="7"/>
    <x v="1"/>
    <x v="0"/>
    <x v="0"/>
  </r>
  <r>
    <n v="27"/>
    <s v="No"/>
    <s v="Travel_Frequently"/>
    <n v="472"/>
    <x v="1"/>
    <n v="1"/>
    <n v="1"/>
    <s v="Technical Degree"/>
    <n v="1"/>
    <n v="274"/>
    <n v="3"/>
    <x v="1"/>
    <n v="60"/>
    <n v="2"/>
    <n v="2"/>
    <x v="3"/>
    <x v="3"/>
    <s v="Married"/>
    <n v="4298"/>
    <n v="9679"/>
    <n v="5"/>
    <s v="Y"/>
    <s v="No"/>
    <n v="19"/>
    <n v="3"/>
    <n v="3"/>
    <n v="80"/>
    <n v="1"/>
    <n v="6"/>
    <n v="1"/>
    <n v="3"/>
    <n v="2"/>
    <n v="2"/>
    <n v="2"/>
    <n v="0"/>
    <x v="1"/>
    <x v="2"/>
    <x v="1"/>
  </r>
  <r>
    <n v="49"/>
    <s v="No"/>
    <s v="Non-Travel"/>
    <n v="1002"/>
    <x v="1"/>
    <n v="18"/>
    <n v="4"/>
    <s v="Life Sciences"/>
    <n v="1"/>
    <n v="275"/>
    <n v="4"/>
    <x v="1"/>
    <n v="92"/>
    <n v="3"/>
    <n v="2"/>
    <x v="3"/>
    <x v="0"/>
    <s v="Divorced"/>
    <n v="6804"/>
    <n v="23793"/>
    <n v="1"/>
    <s v="Y"/>
    <s v="Yes"/>
    <n v="15"/>
    <n v="3"/>
    <n v="1"/>
    <n v="80"/>
    <n v="2"/>
    <n v="7"/>
    <n v="0"/>
    <n v="3"/>
    <n v="7"/>
    <n v="7"/>
    <n v="1"/>
    <n v="7"/>
    <x v="1"/>
    <x v="1"/>
    <x v="0"/>
  </r>
  <r>
    <n v="34"/>
    <s v="No"/>
    <s v="Travel_Frequently"/>
    <n v="878"/>
    <x v="1"/>
    <n v="10"/>
    <n v="4"/>
    <s v="Medical"/>
    <n v="1"/>
    <n v="277"/>
    <n v="4"/>
    <x v="1"/>
    <n v="43"/>
    <n v="3"/>
    <n v="1"/>
    <x v="1"/>
    <x v="2"/>
    <s v="Divorced"/>
    <n v="3815"/>
    <n v="5972"/>
    <n v="1"/>
    <s v="Y"/>
    <s v="Yes"/>
    <n v="17"/>
    <n v="3"/>
    <n v="4"/>
    <n v="80"/>
    <n v="1"/>
    <n v="5"/>
    <n v="4"/>
    <n v="4"/>
    <n v="5"/>
    <n v="3"/>
    <n v="2"/>
    <n v="0"/>
    <x v="1"/>
    <x v="2"/>
    <x v="2"/>
  </r>
  <r>
    <n v="40"/>
    <s v="No"/>
    <s v="Travel_Rarely"/>
    <n v="905"/>
    <x v="1"/>
    <n v="19"/>
    <n v="2"/>
    <s v="Medical"/>
    <n v="1"/>
    <n v="281"/>
    <n v="3"/>
    <x v="1"/>
    <n v="99"/>
    <n v="3"/>
    <n v="2"/>
    <x v="2"/>
    <x v="0"/>
    <s v="Married"/>
    <n v="2741"/>
    <n v="16523"/>
    <n v="8"/>
    <s v="Y"/>
    <s v="Yes"/>
    <n v="15"/>
    <n v="3"/>
    <n v="3"/>
    <n v="80"/>
    <n v="1"/>
    <n v="15"/>
    <n v="2"/>
    <n v="4"/>
    <n v="7"/>
    <n v="2"/>
    <n v="3"/>
    <n v="7"/>
    <x v="1"/>
    <x v="0"/>
    <x v="0"/>
  </r>
  <r>
    <n v="38"/>
    <s v="Yes"/>
    <s v="Travel_Rarely"/>
    <n v="1180"/>
    <x v="1"/>
    <n v="29"/>
    <n v="1"/>
    <s v="Medical"/>
    <n v="1"/>
    <n v="282"/>
    <n v="2"/>
    <x v="1"/>
    <n v="70"/>
    <n v="3"/>
    <n v="2"/>
    <x v="4"/>
    <x v="3"/>
    <s v="Married"/>
    <n v="6673"/>
    <n v="11354"/>
    <n v="7"/>
    <s v="Y"/>
    <s v="Yes"/>
    <n v="19"/>
    <n v="3"/>
    <n v="2"/>
    <n v="80"/>
    <n v="0"/>
    <n v="17"/>
    <n v="2"/>
    <n v="3"/>
    <n v="1"/>
    <n v="0"/>
    <n v="0"/>
    <n v="0"/>
    <x v="0"/>
    <x v="0"/>
    <x v="1"/>
  </r>
  <r>
    <n v="29"/>
    <s v="Yes"/>
    <s v="Travel_Rarely"/>
    <n v="121"/>
    <x v="0"/>
    <n v="27"/>
    <n v="3"/>
    <s v="Marketing"/>
    <n v="1"/>
    <n v="283"/>
    <n v="2"/>
    <x v="0"/>
    <n v="35"/>
    <n v="3"/>
    <n v="3"/>
    <x v="0"/>
    <x v="0"/>
    <s v="Married"/>
    <n v="7639"/>
    <n v="24525"/>
    <n v="1"/>
    <s v="Y"/>
    <s v="No"/>
    <n v="22"/>
    <n v="4"/>
    <n v="4"/>
    <n v="80"/>
    <n v="3"/>
    <n v="10"/>
    <n v="3"/>
    <n v="2"/>
    <n v="10"/>
    <n v="4"/>
    <n v="1"/>
    <n v="9"/>
    <x v="0"/>
    <x v="2"/>
    <x v="0"/>
  </r>
  <r>
    <n v="22"/>
    <s v="No"/>
    <s v="Travel_Rarely"/>
    <n v="1136"/>
    <x v="1"/>
    <n v="5"/>
    <n v="3"/>
    <s v="Life Sciences"/>
    <n v="1"/>
    <n v="284"/>
    <n v="4"/>
    <x v="1"/>
    <n v="60"/>
    <n v="4"/>
    <n v="1"/>
    <x v="1"/>
    <x v="1"/>
    <s v="Divorced"/>
    <n v="2328"/>
    <n v="12392"/>
    <n v="1"/>
    <s v="Y"/>
    <s v="Yes"/>
    <n v="16"/>
    <n v="3"/>
    <n v="1"/>
    <n v="80"/>
    <n v="1"/>
    <n v="4"/>
    <n v="2"/>
    <n v="2"/>
    <n v="4"/>
    <n v="2"/>
    <n v="2"/>
    <n v="2"/>
    <x v="1"/>
    <x v="3"/>
    <x v="2"/>
  </r>
  <r>
    <n v="36"/>
    <s v="No"/>
    <s v="Travel_Frequently"/>
    <n v="635"/>
    <x v="1"/>
    <n v="18"/>
    <n v="1"/>
    <s v="Medical"/>
    <n v="1"/>
    <n v="286"/>
    <n v="2"/>
    <x v="0"/>
    <n v="73"/>
    <n v="3"/>
    <n v="1"/>
    <x v="2"/>
    <x v="0"/>
    <s v="Single"/>
    <n v="2153"/>
    <n v="7703"/>
    <n v="1"/>
    <s v="Y"/>
    <s v="No"/>
    <n v="13"/>
    <n v="3"/>
    <n v="1"/>
    <n v="80"/>
    <n v="0"/>
    <n v="8"/>
    <n v="2"/>
    <n v="3"/>
    <n v="8"/>
    <n v="1"/>
    <n v="1"/>
    <n v="7"/>
    <x v="1"/>
    <x v="0"/>
    <x v="0"/>
  </r>
  <r>
    <n v="40"/>
    <s v="No"/>
    <s v="Non-Travel"/>
    <n v="1151"/>
    <x v="1"/>
    <n v="9"/>
    <n v="5"/>
    <s v="Life Sciences"/>
    <n v="1"/>
    <n v="287"/>
    <n v="4"/>
    <x v="1"/>
    <n v="63"/>
    <n v="2"/>
    <n v="2"/>
    <x v="4"/>
    <x v="0"/>
    <s v="Married"/>
    <n v="4876"/>
    <n v="14242"/>
    <n v="9"/>
    <s v="Y"/>
    <s v="No"/>
    <n v="14"/>
    <n v="3"/>
    <n v="4"/>
    <n v="80"/>
    <n v="1"/>
    <n v="5"/>
    <n v="5"/>
    <n v="1"/>
    <n v="3"/>
    <n v="2"/>
    <n v="0"/>
    <n v="2"/>
    <x v="1"/>
    <x v="0"/>
    <x v="2"/>
  </r>
  <r>
    <n v="46"/>
    <s v="No"/>
    <s v="Travel_Rarely"/>
    <n v="644"/>
    <x v="1"/>
    <n v="1"/>
    <n v="4"/>
    <s v="Medical"/>
    <n v="1"/>
    <n v="288"/>
    <n v="4"/>
    <x v="1"/>
    <n v="97"/>
    <n v="3"/>
    <n v="3"/>
    <x v="4"/>
    <x v="3"/>
    <s v="Divorced"/>
    <n v="9396"/>
    <n v="12368"/>
    <n v="7"/>
    <s v="Y"/>
    <s v="No"/>
    <n v="16"/>
    <n v="3"/>
    <n v="3"/>
    <n v="80"/>
    <n v="1"/>
    <n v="17"/>
    <n v="3"/>
    <n v="3"/>
    <n v="4"/>
    <n v="2"/>
    <n v="0"/>
    <n v="3"/>
    <x v="1"/>
    <x v="1"/>
    <x v="2"/>
  </r>
  <r>
    <n v="32"/>
    <s v="Yes"/>
    <s v="Travel_Rarely"/>
    <n v="1045"/>
    <x v="0"/>
    <n v="4"/>
    <n v="4"/>
    <s v="Medical"/>
    <n v="1"/>
    <n v="291"/>
    <n v="4"/>
    <x v="1"/>
    <n v="32"/>
    <n v="1"/>
    <n v="3"/>
    <x v="0"/>
    <x v="0"/>
    <s v="Married"/>
    <n v="10400"/>
    <n v="25812"/>
    <n v="1"/>
    <s v="Y"/>
    <s v="No"/>
    <n v="11"/>
    <n v="3"/>
    <n v="3"/>
    <n v="80"/>
    <n v="0"/>
    <n v="14"/>
    <n v="2"/>
    <n v="2"/>
    <n v="14"/>
    <n v="8"/>
    <n v="9"/>
    <n v="8"/>
    <x v="0"/>
    <x v="2"/>
    <x v="3"/>
  </r>
  <r>
    <n v="30"/>
    <s v="No"/>
    <s v="Non-Travel"/>
    <n v="829"/>
    <x v="1"/>
    <n v="1"/>
    <n v="1"/>
    <s v="Life Sciences"/>
    <n v="1"/>
    <n v="292"/>
    <n v="3"/>
    <x v="1"/>
    <n v="88"/>
    <n v="2"/>
    <n v="3"/>
    <x v="3"/>
    <x v="2"/>
    <s v="Single"/>
    <n v="8474"/>
    <n v="20925"/>
    <n v="1"/>
    <s v="Y"/>
    <s v="No"/>
    <n v="22"/>
    <n v="4"/>
    <n v="3"/>
    <n v="80"/>
    <n v="0"/>
    <n v="12"/>
    <n v="2"/>
    <n v="3"/>
    <n v="11"/>
    <n v="8"/>
    <n v="5"/>
    <n v="8"/>
    <x v="1"/>
    <x v="2"/>
    <x v="3"/>
  </r>
  <r>
    <n v="27"/>
    <s v="No"/>
    <s v="Travel_Frequently"/>
    <n v="1242"/>
    <x v="0"/>
    <n v="20"/>
    <n v="3"/>
    <s v="Life Sciences"/>
    <n v="1"/>
    <n v="293"/>
    <n v="4"/>
    <x v="0"/>
    <n v="90"/>
    <n v="3"/>
    <n v="2"/>
    <x v="0"/>
    <x v="2"/>
    <s v="Single"/>
    <n v="9981"/>
    <n v="12916"/>
    <n v="1"/>
    <s v="Y"/>
    <s v="No"/>
    <n v="14"/>
    <n v="3"/>
    <n v="4"/>
    <n v="80"/>
    <n v="0"/>
    <n v="7"/>
    <n v="2"/>
    <n v="3"/>
    <n v="7"/>
    <n v="7"/>
    <n v="0"/>
    <n v="7"/>
    <x v="1"/>
    <x v="2"/>
    <x v="0"/>
  </r>
  <r>
    <n v="51"/>
    <s v="No"/>
    <s v="Travel_Rarely"/>
    <n v="1469"/>
    <x v="1"/>
    <n v="8"/>
    <n v="4"/>
    <s v="Life Sciences"/>
    <n v="1"/>
    <n v="296"/>
    <n v="2"/>
    <x v="1"/>
    <n v="81"/>
    <n v="2"/>
    <n v="3"/>
    <x v="7"/>
    <x v="1"/>
    <s v="Married"/>
    <n v="12490"/>
    <n v="15736"/>
    <n v="5"/>
    <s v="Y"/>
    <s v="No"/>
    <n v="16"/>
    <n v="3"/>
    <n v="4"/>
    <n v="80"/>
    <n v="2"/>
    <n v="16"/>
    <n v="5"/>
    <n v="1"/>
    <n v="10"/>
    <n v="9"/>
    <n v="4"/>
    <n v="7"/>
    <x v="1"/>
    <x v="1"/>
    <x v="0"/>
  </r>
  <r>
    <n v="30"/>
    <s v="Yes"/>
    <s v="Travel_Rarely"/>
    <n v="1005"/>
    <x v="1"/>
    <n v="3"/>
    <n v="3"/>
    <s v="Technical Degree"/>
    <n v="1"/>
    <n v="297"/>
    <n v="4"/>
    <x v="0"/>
    <n v="88"/>
    <n v="3"/>
    <n v="1"/>
    <x v="1"/>
    <x v="3"/>
    <s v="Single"/>
    <n v="2657"/>
    <n v="8556"/>
    <n v="5"/>
    <s v="Y"/>
    <s v="Yes"/>
    <n v="11"/>
    <n v="3"/>
    <n v="3"/>
    <n v="80"/>
    <n v="0"/>
    <n v="8"/>
    <n v="5"/>
    <n v="3"/>
    <n v="5"/>
    <n v="2"/>
    <n v="0"/>
    <n v="4"/>
    <x v="0"/>
    <x v="2"/>
    <x v="2"/>
  </r>
  <r>
    <n v="41"/>
    <s v="No"/>
    <s v="Travel_Rarely"/>
    <n v="896"/>
    <x v="0"/>
    <n v="6"/>
    <n v="3"/>
    <s v="Life Sciences"/>
    <n v="1"/>
    <n v="298"/>
    <n v="4"/>
    <x v="0"/>
    <n v="75"/>
    <n v="3"/>
    <n v="3"/>
    <x v="5"/>
    <x v="0"/>
    <s v="Single"/>
    <n v="13591"/>
    <n v="14674"/>
    <n v="3"/>
    <s v="Y"/>
    <s v="Yes"/>
    <n v="18"/>
    <n v="3"/>
    <n v="3"/>
    <n v="80"/>
    <n v="0"/>
    <n v="16"/>
    <n v="3"/>
    <n v="3"/>
    <n v="1"/>
    <n v="0"/>
    <n v="0"/>
    <n v="0"/>
    <x v="1"/>
    <x v="0"/>
    <x v="1"/>
  </r>
  <r>
    <n v="30"/>
    <s v="Yes"/>
    <s v="Travel_Frequently"/>
    <n v="334"/>
    <x v="0"/>
    <n v="26"/>
    <n v="4"/>
    <s v="Marketing"/>
    <n v="1"/>
    <n v="299"/>
    <n v="3"/>
    <x v="0"/>
    <n v="52"/>
    <n v="2"/>
    <n v="2"/>
    <x v="0"/>
    <x v="3"/>
    <s v="Single"/>
    <n v="6696"/>
    <n v="22967"/>
    <n v="5"/>
    <s v="Y"/>
    <s v="No"/>
    <n v="15"/>
    <n v="3"/>
    <n v="3"/>
    <n v="80"/>
    <n v="0"/>
    <n v="9"/>
    <n v="5"/>
    <n v="2"/>
    <n v="6"/>
    <n v="3"/>
    <n v="0"/>
    <n v="1"/>
    <x v="0"/>
    <x v="2"/>
    <x v="0"/>
  </r>
  <r>
    <n v="29"/>
    <s v="Yes"/>
    <s v="Travel_Rarely"/>
    <n v="992"/>
    <x v="1"/>
    <n v="1"/>
    <n v="3"/>
    <s v="Technical Degree"/>
    <n v="1"/>
    <n v="300"/>
    <n v="3"/>
    <x v="1"/>
    <n v="85"/>
    <n v="3"/>
    <n v="1"/>
    <x v="1"/>
    <x v="2"/>
    <s v="Single"/>
    <n v="2058"/>
    <n v="19757"/>
    <n v="0"/>
    <s v="Y"/>
    <s v="No"/>
    <n v="14"/>
    <n v="3"/>
    <n v="4"/>
    <n v="80"/>
    <n v="0"/>
    <n v="7"/>
    <n v="1"/>
    <n v="2"/>
    <n v="6"/>
    <n v="2"/>
    <n v="1"/>
    <n v="5"/>
    <x v="0"/>
    <x v="2"/>
    <x v="0"/>
  </r>
  <r>
    <n v="45"/>
    <s v="No"/>
    <s v="Non-Travel"/>
    <n v="1052"/>
    <x v="0"/>
    <n v="6"/>
    <n v="3"/>
    <s v="Medical"/>
    <n v="1"/>
    <n v="302"/>
    <n v="4"/>
    <x v="0"/>
    <n v="57"/>
    <n v="2"/>
    <n v="3"/>
    <x v="0"/>
    <x v="0"/>
    <s v="Single"/>
    <n v="8865"/>
    <n v="16840"/>
    <n v="6"/>
    <s v="Y"/>
    <s v="No"/>
    <n v="12"/>
    <n v="3"/>
    <n v="4"/>
    <n v="80"/>
    <n v="0"/>
    <n v="23"/>
    <n v="2"/>
    <n v="3"/>
    <n v="19"/>
    <n v="7"/>
    <n v="12"/>
    <n v="8"/>
    <x v="1"/>
    <x v="0"/>
    <x v="3"/>
  </r>
  <r>
    <n v="54"/>
    <s v="No"/>
    <s v="Travel_Rarely"/>
    <n v="1147"/>
    <x v="0"/>
    <n v="3"/>
    <n v="3"/>
    <s v="Marketing"/>
    <n v="1"/>
    <n v="303"/>
    <n v="4"/>
    <x v="0"/>
    <n v="52"/>
    <n v="3"/>
    <n v="2"/>
    <x v="0"/>
    <x v="3"/>
    <s v="Married"/>
    <n v="5940"/>
    <n v="17011"/>
    <n v="2"/>
    <s v="Y"/>
    <s v="No"/>
    <n v="14"/>
    <n v="3"/>
    <n v="4"/>
    <n v="80"/>
    <n v="1"/>
    <n v="16"/>
    <n v="4"/>
    <n v="3"/>
    <n v="6"/>
    <n v="2"/>
    <n v="0"/>
    <n v="5"/>
    <x v="1"/>
    <x v="1"/>
    <x v="0"/>
  </r>
  <r>
    <n v="36"/>
    <s v="No"/>
    <s v="Travel_Rarely"/>
    <n v="1396"/>
    <x v="1"/>
    <n v="5"/>
    <n v="2"/>
    <s v="Life Sciences"/>
    <n v="1"/>
    <n v="304"/>
    <n v="4"/>
    <x v="1"/>
    <n v="62"/>
    <n v="3"/>
    <n v="2"/>
    <x v="2"/>
    <x v="1"/>
    <s v="Single"/>
    <n v="5914"/>
    <n v="9945"/>
    <n v="8"/>
    <s v="Y"/>
    <s v="No"/>
    <n v="16"/>
    <n v="3"/>
    <n v="4"/>
    <n v="80"/>
    <n v="0"/>
    <n v="16"/>
    <n v="3"/>
    <n v="4"/>
    <n v="13"/>
    <n v="11"/>
    <n v="3"/>
    <n v="7"/>
    <x v="1"/>
    <x v="0"/>
    <x v="3"/>
  </r>
  <r>
    <n v="33"/>
    <s v="No"/>
    <s v="Travel_Rarely"/>
    <n v="147"/>
    <x v="1"/>
    <n v="4"/>
    <n v="4"/>
    <s v="Medical"/>
    <n v="1"/>
    <n v="305"/>
    <n v="3"/>
    <x v="0"/>
    <n v="47"/>
    <n v="2"/>
    <n v="1"/>
    <x v="1"/>
    <x v="1"/>
    <s v="Married"/>
    <n v="2622"/>
    <n v="13248"/>
    <n v="6"/>
    <s v="Y"/>
    <s v="No"/>
    <n v="21"/>
    <n v="4"/>
    <n v="4"/>
    <n v="80"/>
    <n v="0"/>
    <n v="7"/>
    <n v="3"/>
    <n v="3"/>
    <n v="3"/>
    <n v="2"/>
    <n v="1"/>
    <n v="1"/>
    <x v="1"/>
    <x v="2"/>
    <x v="2"/>
  </r>
  <r>
    <n v="37"/>
    <s v="No"/>
    <s v="Travel_Frequently"/>
    <n v="663"/>
    <x v="1"/>
    <n v="11"/>
    <n v="3"/>
    <s v="Other"/>
    <n v="1"/>
    <n v="306"/>
    <n v="2"/>
    <x v="1"/>
    <n v="47"/>
    <n v="3"/>
    <n v="3"/>
    <x v="7"/>
    <x v="0"/>
    <s v="Divorced"/>
    <n v="12185"/>
    <n v="10056"/>
    <n v="1"/>
    <s v="Y"/>
    <s v="Yes"/>
    <n v="14"/>
    <n v="3"/>
    <n v="3"/>
    <n v="80"/>
    <n v="3"/>
    <n v="10"/>
    <n v="1"/>
    <n v="3"/>
    <n v="10"/>
    <n v="8"/>
    <n v="0"/>
    <n v="7"/>
    <x v="1"/>
    <x v="0"/>
    <x v="0"/>
  </r>
  <r>
    <n v="38"/>
    <s v="No"/>
    <s v="Travel_Rarely"/>
    <n v="119"/>
    <x v="0"/>
    <n v="3"/>
    <n v="3"/>
    <s v="Life Sciences"/>
    <n v="1"/>
    <n v="307"/>
    <n v="1"/>
    <x v="1"/>
    <n v="76"/>
    <n v="3"/>
    <n v="3"/>
    <x v="0"/>
    <x v="2"/>
    <s v="Divorced"/>
    <n v="10609"/>
    <n v="9647"/>
    <n v="0"/>
    <s v="Y"/>
    <s v="No"/>
    <n v="12"/>
    <n v="3"/>
    <n v="3"/>
    <n v="80"/>
    <n v="2"/>
    <n v="17"/>
    <n v="6"/>
    <n v="2"/>
    <n v="16"/>
    <n v="10"/>
    <n v="5"/>
    <n v="13"/>
    <x v="1"/>
    <x v="0"/>
    <x v="3"/>
  </r>
  <r>
    <n v="31"/>
    <s v="No"/>
    <s v="Non-Travel"/>
    <n v="979"/>
    <x v="1"/>
    <n v="1"/>
    <n v="4"/>
    <s v="Medical"/>
    <n v="1"/>
    <n v="308"/>
    <n v="3"/>
    <x v="1"/>
    <n v="90"/>
    <n v="1"/>
    <n v="2"/>
    <x v="3"/>
    <x v="2"/>
    <s v="Married"/>
    <n v="4345"/>
    <n v="4381"/>
    <n v="0"/>
    <s v="Y"/>
    <s v="No"/>
    <n v="12"/>
    <n v="3"/>
    <n v="4"/>
    <n v="80"/>
    <n v="1"/>
    <n v="6"/>
    <n v="2"/>
    <n v="3"/>
    <n v="5"/>
    <n v="4"/>
    <n v="1"/>
    <n v="4"/>
    <x v="1"/>
    <x v="2"/>
    <x v="2"/>
  </r>
  <r>
    <n v="59"/>
    <s v="No"/>
    <s v="Travel_Rarely"/>
    <n v="142"/>
    <x v="1"/>
    <n v="3"/>
    <n v="3"/>
    <s v="Life Sciences"/>
    <n v="1"/>
    <n v="309"/>
    <n v="3"/>
    <x v="1"/>
    <n v="70"/>
    <n v="2"/>
    <n v="1"/>
    <x v="1"/>
    <x v="0"/>
    <s v="Married"/>
    <n v="2177"/>
    <n v="8456"/>
    <n v="3"/>
    <s v="Y"/>
    <s v="No"/>
    <n v="17"/>
    <n v="3"/>
    <n v="1"/>
    <n v="80"/>
    <n v="1"/>
    <n v="7"/>
    <n v="6"/>
    <n v="3"/>
    <n v="1"/>
    <n v="0"/>
    <n v="0"/>
    <n v="0"/>
    <x v="1"/>
    <x v="1"/>
    <x v="1"/>
  </r>
  <r>
    <n v="37"/>
    <s v="No"/>
    <s v="Travel_Frequently"/>
    <n v="319"/>
    <x v="0"/>
    <n v="4"/>
    <n v="4"/>
    <s v="Marketing"/>
    <n v="1"/>
    <n v="311"/>
    <n v="1"/>
    <x v="1"/>
    <n v="41"/>
    <n v="3"/>
    <n v="1"/>
    <x v="6"/>
    <x v="0"/>
    <s v="Divorced"/>
    <n v="2793"/>
    <n v="2539"/>
    <n v="4"/>
    <s v="Y"/>
    <s v="No"/>
    <n v="17"/>
    <n v="3"/>
    <n v="3"/>
    <n v="80"/>
    <n v="1"/>
    <n v="13"/>
    <n v="2"/>
    <n v="3"/>
    <n v="9"/>
    <n v="8"/>
    <n v="5"/>
    <n v="8"/>
    <x v="1"/>
    <x v="0"/>
    <x v="0"/>
  </r>
  <r>
    <n v="29"/>
    <s v="No"/>
    <s v="Travel_Frequently"/>
    <n v="1413"/>
    <x v="0"/>
    <n v="1"/>
    <n v="1"/>
    <s v="Medical"/>
    <n v="1"/>
    <n v="312"/>
    <n v="2"/>
    <x v="0"/>
    <n v="42"/>
    <n v="3"/>
    <n v="3"/>
    <x v="0"/>
    <x v="0"/>
    <s v="Married"/>
    <n v="7918"/>
    <n v="6599"/>
    <n v="1"/>
    <s v="Y"/>
    <s v="No"/>
    <n v="14"/>
    <n v="3"/>
    <n v="4"/>
    <n v="80"/>
    <n v="1"/>
    <n v="11"/>
    <n v="5"/>
    <n v="3"/>
    <n v="11"/>
    <n v="10"/>
    <n v="4"/>
    <n v="1"/>
    <x v="1"/>
    <x v="2"/>
    <x v="3"/>
  </r>
  <r>
    <n v="35"/>
    <s v="No"/>
    <s v="Travel_Frequently"/>
    <n v="944"/>
    <x v="0"/>
    <n v="1"/>
    <n v="3"/>
    <s v="Marketing"/>
    <n v="1"/>
    <n v="314"/>
    <n v="3"/>
    <x v="0"/>
    <n v="92"/>
    <n v="3"/>
    <n v="3"/>
    <x v="0"/>
    <x v="2"/>
    <s v="Single"/>
    <n v="8789"/>
    <n v="9096"/>
    <n v="1"/>
    <s v="Y"/>
    <s v="No"/>
    <n v="14"/>
    <n v="3"/>
    <n v="1"/>
    <n v="80"/>
    <n v="0"/>
    <n v="10"/>
    <n v="3"/>
    <n v="4"/>
    <n v="10"/>
    <n v="7"/>
    <n v="0"/>
    <n v="8"/>
    <x v="1"/>
    <x v="2"/>
    <x v="0"/>
  </r>
  <r>
    <n v="29"/>
    <s v="Yes"/>
    <s v="Travel_Rarely"/>
    <n v="896"/>
    <x v="1"/>
    <n v="18"/>
    <n v="1"/>
    <s v="Medical"/>
    <n v="1"/>
    <n v="315"/>
    <n v="3"/>
    <x v="1"/>
    <n v="86"/>
    <n v="2"/>
    <n v="1"/>
    <x v="1"/>
    <x v="0"/>
    <s v="Single"/>
    <n v="2389"/>
    <n v="14961"/>
    <n v="1"/>
    <s v="Y"/>
    <s v="Yes"/>
    <n v="13"/>
    <n v="3"/>
    <n v="3"/>
    <n v="80"/>
    <n v="0"/>
    <n v="4"/>
    <n v="3"/>
    <n v="2"/>
    <n v="4"/>
    <n v="3"/>
    <n v="0"/>
    <n v="1"/>
    <x v="0"/>
    <x v="2"/>
    <x v="2"/>
  </r>
  <r>
    <n v="52"/>
    <s v="No"/>
    <s v="Travel_Rarely"/>
    <n v="1323"/>
    <x v="1"/>
    <n v="2"/>
    <n v="3"/>
    <s v="Life Sciences"/>
    <n v="1"/>
    <n v="316"/>
    <n v="3"/>
    <x v="0"/>
    <n v="89"/>
    <n v="2"/>
    <n v="1"/>
    <x v="2"/>
    <x v="0"/>
    <s v="Single"/>
    <n v="3212"/>
    <n v="3300"/>
    <n v="7"/>
    <s v="Y"/>
    <s v="No"/>
    <n v="15"/>
    <n v="3"/>
    <n v="2"/>
    <n v="80"/>
    <n v="0"/>
    <n v="6"/>
    <n v="3"/>
    <n v="2"/>
    <n v="2"/>
    <n v="2"/>
    <n v="2"/>
    <n v="2"/>
    <x v="1"/>
    <x v="1"/>
    <x v="1"/>
  </r>
  <r>
    <n v="42"/>
    <s v="No"/>
    <s v="Travel_Rarely"/>
    <n v="532"/>
    <x v="1"/>
    <n v="4"/>
    <n v="2"/>
    <s v="Technical Degree"/>
    <n v="1"/>
    <n v="319"/>
    <n v="3"/>
    <x v="1"/>
    <n v="58"/>
    <n v="3"/>
    <n v="5"/>
    <x v="5"/>
    <x v="0"/>
    <s v="Married"/>
    <n v="19232"/>
    <n v="4933"/>
    <n v="1"/>
    <s v="Y"/>
    <s v="No"/>
    <n v="11"/>
    <n v="3"/>
    <n v="4"/>
    <n v="80"/>
    <n v="0"/>
    <n v="22"/>
    <n v="3"/>
    <n v="3"/>
    <n v="22"/>
    <n v="17"/>
    <n v="11"/>
    <n v="15"/>
    <x v="1"/>
    <x v="0"/>
    <x v="3"/>
  </r>
  <r>
    <n v="59"/>
    <s v="No"/>
    <s v="Travel_Rarely"/>
    <n v="818"/>
    <x v="2"/>
    <n v="6"/>
    <n v="2"/>
    <s v="Medical"/>
    <n v="1"/>
    <n v="321"/>
    <n v="2"/>
    <x v="1"/>
    <n v="52"/>
    <n v="3"/>
    <n v="1"/>
    <x v="8"/>
    <x v="2"/>
    <s v="Married"/>
    <n v="2267"/>
    <n v="25657"/>
    <n v="8"/>
    <s v="Y"/>
    <s v="No"/>
    <n v="17"/>
    <n v="3"/>
    <n v="4"/>
    <n v="80"/>
    <n v="0"/>
    <n v="7"/>
    <n v="2"/>
    <n v="2"/>
    <n v="2"/>
    <n v="2"/>
    <n v="2"/>
    <n v="2"/>
    <x v="1"/>
    <x v="1"/>
    <x v="1"/>
  </r>
  <r>
    <n v="50"/>
    <s v="No"/>
    <s v="Travel_Rarely"/>
    <n v="854"/>
    <x v="0"/>
    <n v="1"/>
    <n v="4"/>
    <s v="Medical"/>
    <n v="1"/>
    <n v="323"/>
    <n v="4"/>
    <x v="0"/>
    <n v="68"/>
    <n v="3"/>
    <n v="5"/>
    <x v="5"/>
    <x v="0"/>
    <s v="Divorced"/>
    <n v="19517"/>
    <n v="24118"/>
    <n v="3"/>
    <s v="Y"/>
    <s v="No"/>
    <n v="11"/>
    <n v="3"/>
    <n v="3"/>
    <n v="80"/>
    <n v="1"/>
    <n v="32"/>
    <n v="3"/>
    <n v="2"/>
    <n v="7"/>
    <n v="0"/>
    <n v="0"/>
    <n v="6"/>
    <x v="1"/>
    <x v="1"/>
    <x v="0"/>
  </r>
  <r>
    <n v="33"/>
    <s v="Yes"/>
    <s v="Travel_Rarely"/>
    <n v="813"/>
    <x v="1"/>
    <n v="14"/>
    <n v="3"/>
    <s v="Medical"/>
    <n v="1"/>
    <n v="325"/>
    <n v="3"/>
    <x v="1"/>
    <n v="58"/>
    <n v="3"/>
    <n v="1"/>
    <x v="2"/>
    <x v="0"/>
    <s v="Married"/>
    <n v="2436"/>
    <n v="22149"/>
    <n v="5"/>
    <s v="Y"/>
    <s v="Yes"/>
    <n v="13"/>
    <n v="3"/>
    <n v="3"/>
    <n v="80"/>
    <n v="1"/>
    <n v="8"/>
    <n v="2"/>
    <n v="1"/>
    <n v="5"/>
    <n v="4"/>
    <n v="0"/>
    <n v="4"/>
    <x v="0"/>
    <x v="2"/>
    <x v="2"/>
  </r>
  <r>
    <n v="43"/>
    <s v="No"/>
    <s v="Travel_Rarely"/>
    <n v="1034"/>
    <x v="0"/>
    <n v="16"/>
    <n v="3"/>
    <s v="Marketing"/>
    <n v="1"/>
    <n v="327"/>
    <n v="4"/>
    <x v="0"/>
    <n v="80"/>
    <n v="3"/>
    <n v="4"/>
    <x v="5"/>
    <x v="0"/>
    <s v="Married"/>
    <n v="16064"/>
    <n v="7744"/>
    <n v="5"/>
    <s v="Y"/>
    <s v="Yes"/>
    <n v="22"/>
    <n v="4"/>
    <n v="3"/>
    <n v="80"/>
    <n v="1"/>
    <n v="22"/>
    <n v="3"/>
    <n v="3"/>
    <n v="17"/>
    <n v="13"/>
    <n v="1"/>
    <n v="9"/>
    <x v="1"/>
    <x v="0"/>
    <x v="3"/>
  </r>
  <r>
    <n v="33"/>
    <s v="Yes"/>
    <s v="Travel_Rarely"/>
    <n v="465"/>
    <x v="1"/>
    <n v="2"/>
    <n v="2"/>
    <s v="Life Sciences"/>
    <n v="1"/>
    <n v="328"/>
    <n v="1"/>
    <x v="0"/>
    <n v="39"/>
    <n v="3"/>
    <n v="1"/>
    <x v="2"/>
    <x v="3"/>
    <s v="Married"/>
    <n v="2707"/>
    <n v="21509"/>
    <n v="7"/>
    <s v="Y"/>
    <s v="No"/>
    <n v="20"/>
    <n v="4"/>
    <n v="1"/>
    <n v="80"/>
    <n v="0"/>
    <n v="13"/>
    <n v="3"/>
    <n v="4"/>
    <n v="9"/>
    <n v="7"/>
    <n v="1"/>
    <n v="7"/>
    <x v="0"/>
    <x v="2"/>
    <x v="0"/>
  </r>
  <r>
    <n v="52"/>
    <s v="No"/>
    <s v="Non-Travel"/>
    <n v="771"/>
    <x v="0"/>
    <n v="2"/>
    <n v="4"/>
    <s v="Life Sciences"/>
    <n v="1"/>
    <n v="329"/>
    <n v="1"/>
    <x v="1"/>
    <n v="79"/>
    <n v="2"/>
    <n v="5"/>
    <x v="5"/>
    <x v="2"/>
    <s v="Single"/>
    <n v="19068"/>
    <n v="21030"/>
    <n v="1"/>
    <s v="Y"/>
    <s v="Yes"/>
    <n v="18"/>
    <n v="3"/>
    <n v="4"/>
    <n v="80"/>
    <n v="0"/>
    <n v="33"/>
    <n v="2"/>
    <n v="4"/>
    <n v="33"/>
    <n v="7"/>
    <n v="15"/>
    <n v="12"/>
    <x v="1"/>
    <x v="1"/>
    <x v="3"/>
  </r>
  <r>
    <n v="32"/>
    <s v="No"/>
    <s v="Travel_Rarely"/>
    <n v="1401"/>
    <x v="0"/>
    <n v="4"/>
    <n v="2"/>
    <s v="Life Sciences"/>
    <n v="1"/>
    <n v="330"/>
    <n v="3"/>
    <x v="0"/>
    <n v="56"/>
    <n v="3"/>
    <n v="1"/>
    <x v="6"/>
    <x v="1"/>
    <s v="Married"/>
    <n v="3931"/>
    <n v="20990"/>
    <n v="2"/>
    <s v="Y"/>
    <s v="No"/>
    <n v="11"/>
    <n v="3"/>
    <n v="1"/>
    <n v="80"/>
    <n v="1"/>
    <n v="6"/>
    <n v="5"/>
    <n v="3"/>
    <n v="4"/>
    <n v="3"/>
    <n v="1"/>
    <n v="2"/>
    <x v="1"/>
    <x v="2"/>
    <x v="2"/>
  </r>
  <r>
    <n v="32"/>
    <s v="Yes"/>
    <s v="Travel_Rarely"/>
    <n v="515"/>
    <x v="1"/>
    <n v="1"/>
    <n v="3"/>
    <s v="Life Sciences"/>
    <n v="1"/>
    <n v="331"/>
    <n v="4"/>
    <x v="1"/>
    <n v="62"/>
    <n v="2"/>
    <n v="1"/>
    <x v="2"/>
    <x v="2"/>
    <s v="Single"/>
    <n v="3730"/>
    <n v="9571"/>
    <n v="0"/>
    <s v="Y"/>
    <s v="Yes"/>
    <n v="14"/>
    <n v="3"/>
    <n v="4"/>
    <n v="80"/>
    <n v="0"/>
    <n v="4"/>
    <n v="2"/>
    <n v="1"/>
    <n v="3"/>
    <n v="2"/>
    <n v="1"/>
    <n v="2"/>
    <x v="0"/>
    <x v="2"/>
    <x v="2"/>
  </r>
  <r>
    <n v="39"/>
    <s v="No"/>
    <s v="Travel_Rarely"/>
    <n v="1431"/>
    <x v="1"/>
    <n v="1"/>
    <n v="4"/>
    <s v="Medical"/>
    <n v="1"/>
    <n v="332"/>
    <n v="3"/>
    <x v="0"/>
    <n v="96"/>
    <n v="3"/>
    <n v="1"/>
    <x v="2"/>
    <x v="2"/>
    <s v="Divorced"/>
    <n v="2232"/>
    <n v="15417"/>
    <n v="7"/>
    <s v="Y"/>
    <s v="No"/>
    <n v="14"/>
    <n v="3"/>
    <n v="3"/>
    <n v="80"/>
    <n v="3"/>
    <n v="7"/>
    <n v="1"/>
    <n v="3"/>
    <n v="3"/>
    <n v="2"/>
    <n v="1"/>
    <n v="2"/>
    <x v="1"/>
    <x v="0"/>
    <x v="2"/>
  </r>
  <r>
    <n v="32"/>
    <s v="No"/>
    <s v="Non-Travel"/>
    <n v="976"/>
    <x v="0"/>
    <n v="26"/>
    <n v="4"/>
    <s v="Marketing"/>
    <n v="1"/>
    <n v="333"/>
    <n v="3"/>
    <x v="1"/>
    <n v="100"/>
    <n v="3"/>
    <n v="2"/>
    <x v="0"/>
    <x v="0"/>
    <s v="Married"/>
    <n v="4465"/>
    <n v="12069"/>
    <n v="0"/>
    <s v="Y"/>
    <s v="No"/>
    <n v="18"/>
    <n v="3"/>
    <n v="1"/>
    <n v="80"/>
    <n v="0"/>
    <n v="4"/>
    <n v="2"/>
    <n v="3"/>
    <n v="3"/>
    <n v="2"/>
    <n v="2"/>
    <n v="2"/>
    <x v="1"/>
    <x v="2"/>
    <x v="2"/>
  </r>
  <r>
    <n v="41"/>
    <s v="No"/>
    <s v="Travel_Rarely"/>
    <n v="1411"/>
    <x v="1"/>
    <n v="19"/>
    <n v="2"/>
    <s v="Life Sciences"/>
    <n v="1"/>
    <n v="334"/>
    <n v="3"/>
    <x v="1"/>
    <n v="36"/>
    <n v="3"/>
    <n v="2"/>
    <x v="1"/>
    <x v="3"/>
    <s v="Divorced"/>
    <n v="3072"/>
    <n v="19877"/>
    <n v="2"/>
    <s v="Y"/>
    <s v="No"/>
    <n v="16"/>
    <n v="3"/>
    <n v="1"/>
    <n v="80"/>
    <n v="2"/>
    <n v="17"/>
    <n v="2"/>
    <n v="2"/>
    <n v="1"/>
    <n v="0"/>
    <n v="0"/>
    <n v="0"/>
    <x v="1"/>
    <x v="0"/>
    <x v="1"/>
  </r>
  <r>
    <n v="40"/>
    <s v="No"/>
    <s v="Travel_Rarely"/>
    <n v="1300"/>
    <x v="1"/>
    <n v="24"/>
    <n v="2"/>
    <s v="Technical Degree"/>
    <n v="1"/>
    <n v="335"/>
    <n v="1"/>
    <x v="1"/>
    <n v="62"/>
    <n v="3"/>
    <n v="2"/>
    <x v="1"/>
    <x v="0"/>
    <s v="Divorced"/>
    <n v="3319"/>
    <n v="24447"/>
    <n v="1"/>
    <s v="Y"/>
    <s v="No"/>
    <n v="17"/>
    <n v="3"/>
    <n v="1"/>
    <n v="80"/>
    <n v="2"/>
    <n v="9"/>
    <n v="3"/>
    <n v="3"/>
    <n v="9"/>
    <n v="8"/>
    <n v="4"/>
    <n v="7"/>
    <x v="1"/>
    <x v="0"/>
    <x v="0"/>
  </r>
  <r>
    <n v="45"/>
    <s v="No"/>
    <s v="Travel_Rarely"/>
    <n v="252"/>
    <x v="1"/>
    <n v="1"/>
    <n v="3"/>
    <s v="Other"/>
    <n v="1"/>
    <n v="336"/>
    <n v="3"/>
    <x v="1"/>
    <n v="70"/>
    <n v="4"/>
    <n v="5"/>
    <x v="5"/>
    <x v="0"/>
    <s v="Married"/>
    <n v="19202"/>
    <n v="15970"/>
    <n v="0"/>
    <s v="Y"/>
    <s v="No"/>
    <n v="11"/>
    <n v="3"/>
    <n v="3"/>
    <n v="80"/>
    <n v="1"/>
    <n v="25"/>
    <n v="2"/>
    <n v="3"/>
    <n v="24"/>
    <n v="0"/>
    <n v="1"/>
    <n v="7"/>
    <x v="1"/>
    <x v="0"/>
    <x v="3"/>
  </r>
  <r>
    <n v="31"/>
    <s v="No"/>
    <s v="Travel_Frequently"/>
    <n v="1327"/>
    <x v="1"/>
    <n v="3"/>
    <n v="4"/>
    <s v="Medical"/>
    <n v="1"/>
    <n v="337"/>
    <n v="2"/>
    <x v="1"/>
    <n v="73"/>
    <n v="3"/>
    <n v="3"/>
    <x v="7"/>
    <x v="2"/>
    <s v="Divorced"/>
    <n v="13675"/>
    <n v="13523"/>
    <n v="9"/>
    <s v="Y"/>
    <s v="No"/>
    <n v="12"/>
    <n v="3"/>
    <n v="1"/>
    <n v="80"/>
    <n v="1"/>
    <n v="9"/>
    <n v="3"/>
    <n v="3"/>
    <n v="2"/>
    <n v="2"/>
    <n v="2"/>
    <n v="2"/>
    <x v="1"/>
    <x v="2"/>
    <x v="1"/>
  </r>
  <r>
    <n v="33"/>
    <s v="No"/>
    <s v="Travel_Rarely"/>
    <n v="832"/>
    <x v="1"/>
    <n v="5"/>
    <n v="4"/>
    <s v="Life Sciences"/>
    <n v="1"/>
    <n v="338"/>
    <n v="3"/>
    <x v="0"/>
    <n v="63"/>
    <n v="2"/>
    <n v="1"/>
    <x v="1"/>
    <x v="0"/>
    <s v="Married"/>
    <n v="2911"/>
    <n v="14776"/>
    <n v="1"/>
    <s v="Y"/>
    <s v="No"/>
    <n v="13"/>
    <n v="3"/>
    <n v="3"/>
    <n v="80"/>
    <n v="1"/>
    <n v="2"/>
    <n v="2"/>
    <n v="2"/>
    <n v="2"/>
    <n v="2"/>
    <n v="0"/>
    <n v="2"/>
    <x v="1"/>
    <x v="2"/>
    <x v="1"/>
  </r>
  <r>
    <n v="34"/>
    <s v="No"/>
    <s v="Travel_Rarely"/>
    <n v="470"/>
    <x v="1"/>
    <n v="2"/>
    <n v="4"/>
    <s v="Life Sciences"/>
    <n v="1"/>
    <n v="339"/>
    <n v="4"/>
    <x v="1"/>
    <n v="84"/>
    <n v="2"/>
    <n v="2"/>
    <x v="3"/>
    <x v="3"/>
    <s v="Married"/>
    <n v="5957"/>
    <n v="23687"/>
    <n v="6"/>
    <s v="Y"/>
    <s v="No"/>
    <n v="13"/>
    <n v="3"/>
    <n v="2"/>
    <n v="80"/>
    <n v="1"/>
    <n v="13"/>
    <n v="3"/>
    <n v="3"/>
    <n v="11"/>
    <n v="9"/>
    <n v="5"/>
    <n v="9"/>
    <x v="1"/>
    <x v="2"/>
    <x v="3"/>
  </r>
  <r>
    <n v="37"/>
    <s v="No"/>
    <s v="Travel_Rarely"/>
    <n v="1017"/>
    <x v="1"/>
    <n v="1"/>
    <n v="2"/>
    <s v="Medical"/>
    <n v="1"/>
    <n v="340"/>
    <n v="3"/>
    <x v="0"/>
    <n v="83"/>
    <n v="2"/>
    <n v="1"/>
    <x v="1"/>
    <x v="3"/>
    <s v="Married"/>
    <n v="3920"/>
    <n v="18697"/>
    <n v="2"/>
    <s v="Y"/>
    <s v="No"/>
    <n v="14"/>
    <n v="3"/>
    <n v="1"/>
    <n v="80"/>
    <n v="1"/>
    <n v="17"/>
    <n v="2"/>
    <n v="2"/>
    <n v="3"/>
    <n v="1"/>
    <n v="0"/>
    <n v="2"/>
    <x v="1"/>
    <x v="0"/>
    <x v="2"/>
  </r>
  <r>
    <n v="45"/>
    <s v="No"/>
    <s v="Travel_Frequently"/>
    <n v="1199"/>
    <x v="1"/>
    <n v="7"/>
    <n v="4"/>
    <s v="Life Sciences"/>
    <n v="1"/>
    <n v="341"/>
    <n v="1"/>
    <x v="1"/>
    <n v="77"/>
    <n v="4"/>
    <n v="2"/>
    <x v="3"/>
    <x v="2"/>
    <s v="Married"/>
    <n v="6434"/>
    <n v="5118"/>
    <n v="4"/>
    <s v="Y"/>
    <s v="No"/>
    <n v="17"/>
    <n v="3"/>
    <n v="4"/>
    <n v="80"/>
    <n v="1"/>
    <n v="9"/>
    <n v="1"/>
    <n v="3"/>
    <n v="3"/>
    <n v="2"/>
    <n v="0"/>
    <n v="2"/>
    <x v="1"/>
    <x v="0"/>
    <x v="2"/>
  </r>
  <r>
    <n v="37"/>
    <s v="Yes"/>
    <s v="Travel_Frequently"/>
    <n v="504"/>
    <x v="1"/>
    <n v="10"/>
    <n v="3"/>
    <s v="Medical"/>
    <n v="1"/>
    <n v="342"/>
    <n v="1"/>
    <x v="1"/>
    <n v="61"/>
    <n v="3"/>
    <n v="3"/>
    <x v="3"/>
    <x v="2"/>
    <s v="Divorced"/>
    <n v="10048"/>
    <n v="22573"/>
    <n v="6"/>
    <s v="Y"/>
    <s v="No"/>
    <n v="11"/>
    <n v="3"/>
    <n v="2"/>
    <n v="80"/>
    <n v="2"/>
    <n v="17"/>
    <n v="5"/>
    <n v="3"/>
    <n v="1"/>
    <n v="0"/>
    <n v="0"/>
    <n v="0"/>
    <x v="0"/>
    <x v="0"/>
    <x v="1"/>
  </r>
  <r>
    <n v="39"/>
    <s v="No"/>
    <s v="Travel_Frequently"/>
    <n v="505"/>
    <x v="1"/>
    <n v="2"/>
    <n v="4"/>
    <s v="Technical Degree"/>
    <n v="1"/>
    <n v="343"/>
    <n v="3"/>
    <x v="0"/>
    <n v="64"/>
    <n v="3"/>
    <n v="3"/>
    <x v="4"/>
    <x v="2"/>
    <s v="Single"/>
    <n v="10938"/>
    <n v="6420"/>
    <n v="0"/>
    <s v="Y"/>
    <s v="No"/>
    <n v="25"/>
    <n v="4"/>
    <n v="4"/>
    <n v="80"/>
    <n v="0"/>
    <n v="20"/>
    <n v="1"/>
    <n v="3"/>
    <n v="19"/>
    <n v="6"/>
    <n v="11"/>
    <n v="8"/>
    <x v="1"/>
    <x v="0"/>
    <x v="3"/>
  </r>
  <r>
    <n v="29"/>
    <s v="No"/>
    <s v="Travel_Rarely"/>
    <n v="665"/>
    <x v="1"/>
    <n v="15"/>
    <n v="3"/>
    <s v="Life Sciences"/>
    <n v="1"/>
    <n v="346"/>
    <n v="3"/>
    <x v="1"/>
    <n v="60"/>
    <n v="3"/>
    <n v="1"/>
    <x v="1"/>
    <x v="0"/>
    <s v="Single"/>
    <n v="2340"/>
    <n v="22673"/>
    <n v="1"/>
    <s v="Y"/>
    <s v="No"/>
    <n v="19"/>
    <n v="3"/>
    <n v="1"/>
    <n v="80"/>
    <n v="0"/>
    <n v="6"/>
    <n v="1"/>
    <n v="3"/>
    <n v="6"/>
    <n v="5"/>
    <n v="1"/>
    <n v="5"/>
    <x v="1"/>
    <x v="2"/>
    <x v="0"/>
  </r>
  <r>
    <n v="42"/>
    <s v="No"/>
    <s v="Travel_Rarely"/>
    <n v="916"/>
    <x v="1"/>
    <n v="17"/>
    <n v="2"/>
    <s v="Life Sciences"/>
    <n v="1"/>
    <n v="347"/>
    <n v="4"/>
    <x v="0"/>
    <n v="82"/>
    <n v="4"/>
    <n v="2"/>
    <x v="1"/>
    <x v="3"/>
    <s v="Single"/>
    <n v="6545"/>
    <n v="23016"/>
    <n v="3"/>
    <s v="Y"/>
    <s v="Yes"/>
    <n v="13"/>
    <n v="3"/>
    <n v="3"/>
    <n v="80"/>
    <n v="0"/>
    <n v="10"/>
    <n v="1"/>
    <n v="3"/>
    <n v="3"/>
    <n v="2"/>
    <n v="0"/>
    <n v="2"/>
    <x v="1"/>
    <x v="0"/>
    <x v="2"/>
  </r>
  <r>
    <n v="29"/>
    <s v="No"/>
    <s v="Travel_Rarely"/>
    <n v="1247"/>
    <x v="0"/>
    <n v="20"/>
    <n v="2"/>
    <s v="Marketing"/>
    <n v="1"/>
    <n v="349"/>
    <n v="4"/>
    <x v="1"/>
    <n v="45"/>
    <n v="3"/>
    <n v="2"/>
    <x v="0"/>
    <x v="0"/>
    <s v="Divorced"/>
    <n v="6931"/>
    <n v="10732"/>
    <n v="2"/>
    <s v="Y"/>
    <s v="No"/>
    <n v="14"/>
    <n v="3"/>
    <n v="4"/>
    <n v="80"/>
    <n v="1"/>
    <n v="10"/>
    <n v="2"/>
    <n v="3"/>
    <n v="3"/>
    <n v="2"/>
    <n v="0"/>
    <n v="2"/>
    <x v="1"/>
    <x v="2"/>
    <x v="2"/>
  </r>
  <r>
    <n v="25"/>
    <s v="No"/>
    <s v="Travel_Rarely"/>
    <n v="685"/>
    <x v="1"/>
    <n v="1"/>
    <n v="3"/>
    <s v="Life Sciences"/>
    <n v="1"/>
    <n v="350"/>
    <n v="1"/>
    <x v="0"/>
    <n v="62"/>
    <n v="3"/>
    <n v="2"/>
    <x v="3"/>
    <x v="2"/>
    <s v="Married"/>
    <n v="4898"/>
    <n v="7505"/>
    <n v="0"/>
    <s v="Y"/>
    <s v="No"/>
    <n v="12"/>
    <n v="3"/>
    <n v="4"/>
    <n v="80"/>
    <n v="2"/>
    <n v="5"/>
    <n v="3"/>
    <n v="3"/>
    <n v="4"/>
    <n v="2"/>
    <n v="1"/>
    <n v="2"/>
    <x v="1"/>
    <x v="3"/>
    <x v="2"/>
  </r>
  <r>
    <n v="42"/>
    <s v="No"/>
    <s v="Travel_Rarely"/>
    <n v="269"/>
    <x v="1"/>
    <n v="2"/>
    <n v="3"/>
    <s v="Medical"/>
    <n v="1"/>
    <n v="351"/>
    <n v="4"/>
    <x v="0"/>
    <n v="56"/>
    <n v="2"/>
    <n v="1"/>
    <x v="2"/>
    <x v="3"/>
    <s v="Divorced"/>
    <n v="2593"/>
    <n v="8007"/>
    <n v="0"/>
    <s v="Y"/>
    <s v="Yes"/>
    <n v="11"/>
    <n v="3"/>
    <n v="3"/>
    <n v="80"/>
    <n v="1"/>
    <n v="10"/>
    <n v="4"/>
    <n v="3"/>
    <n v="9"/>
    <n v="6"/>
    <n v="7"/>
    <n v="8"/>
    <x v="1"/>
    <x v="0"/>
    <x v="0"/>
  </r>
  <r>
    <n v="40"/>
    <s v="No"/>
    <s v="Travel_Rarely"/>
    <n v="1416"/>
    <x v="1"/>
    <n v="2"/>
    <n v="2"/>
    <s v="Medical"/>
    <n v="1"/>
    <n v="352"/>
    <n v="1"/>
    <x v="1"/>
    <n v="49"/>
    <n v="3"/>
    <n v="5"/>
    <x v="7"/>
    <x v="2"/>
    <s v="Divorced"/>
    <n v="19436"/>
    <n v="5949"/>
    <n v="0"/>
    <s v="Y"/>
    <s v="No"/>
    <n v="19"/>
    <n v="3"/>
    <n v="4"/>
    <n v="80"/>
    <n v="1"/>
    <n v="22"/>
    <n v="5"/>
    <n v="3"/>
    <n v="21"/>
    <n v="7"/>
    <n v="3"/>
    <n v="9"/>
    <x v="1"/>
    <x v="0"/>
    <x v="3"/>
  </r>
  <r>
    <n v="51"/>
    <s v="No"/>
    <s v="Travel_Rarely"/>
    <n v="833"/>
    <x v="1"/>
    <n v="1"/>
    <n v="3"/>
    <s v="Life Sciences"/>
    <n v="1"/>
    <n v="353"/>
    <n v="3"/>
    <x v="1"/>
    <n v="96"/>
    <n v="3"/>
    <n v="1"/>
    <x v="1"/>
    <x v="0"/>
    <s v="Married"/>
    <n v="2723"/>
    <n v="23231"/>
    <n v="1"/>
    <s v="Y"/>
    <s v="No"/>
    <n v="11"/>
    <n v="3"/>
    <n v="2"/>
    <n v="80"/>
    <n v="0"/>
    <n v="1"/>
    <n v="0"/>
    <n v="2"/>
    <n v="1"/>
    <n v="0"/>
    <n v="0"/>
    <n v="0"/>
    <x v="1"/>
    <x v="1"/>
    <x v="1"/>
  </r>
  <r>
    <n v="31"/>
    <s v="Yes"/>
    <s v="Travel_Frequently"/>
    <n v="307"/>
    <x v="1"/>
    <n v="29"/>
    <n v="2"/>
    <s v="Medical"/>
    <n v="1"/>
    <n v="355"/>
    <n v="3"/>
    <x v="1"/>
    <n v="71"/>
    <n v="2"/>
    <n v="1"/>
    <x v="2"/>
    <x v="1"/>
    <s v="Single"/>
    <n v="3479"/>
    <n v="11652"/>
    <n v="0"/>
    <s v="Y"/>
    <s v="No"/>
    <n v="11"/>
    <n v="3"/>
    <n v="2"/>
    <n v="80"/>
    <n v="0"/>
    <n v="6"/>
    <n v="2"/>
    <n v="4"/>
    <n v="5"/>
    <n v="4"/>
    <n v="1"/>
    <n v="4"/>
    <x v="0"/>
    <x v="2"/>
    <x v="2"/>
  </r>
  <r>
    <n v="32"/>
    <s v="No"/>
    <s v="Travel_Frequently"/>
    <n v="1311"/>
    <x v="1"/>
    <n v="7"/>
    <n v="3"/>
    <s v="Life Sciences"/>
    <n v="1"/>
    <n v="359"/>
    <n v="2"/>
    <x v="1"/>
    <n v="100"/>
    <n v="4"/>
    <n v="1"/>
    <x v="2"/>
    <x v="1"/>
    <s v="Married"/>
    <n v="2794"/>
    <n v="26062"/>
    <n v="1"/>
    <s v="Y"/>
    <s v="No"/>
    <n v="20"/>
    <n v="4"/>
    <n v="3"/>
    <n v="80"/>
    <n v="0"/>
    <n v="5"/>
    <n v="3"/>
    <n v="1"/>
    <n v="5"/>
    <n v="1"/>
    <n v="0"/>
    <n v="3"/>
    <x v="1"/>
    <x v="2"/>
    <x v="2"/>
  </r>
  <r>
    <n v="38"/>
    <s v="No"/>
    <s v="Non-Travel"/>
    <n v="1327"/>
    <x v="0"/>
    <n v="2"/>
    <n v="2"/>
    <s v="Life Sciences"/>
    <n v="1"/>
    <n v="361"/>
    <n v="4"/>
    <x v="1"/>
    <n v="39"/>
    <n v="2"/>
    <n v="2"/>
    <x v="0"/>
    <x v="0"/>
    <s v="Married"/>
    <n v="5249"/>
    <n v="19682"/>
    <n v="3"/>
    <s v="Y"/>
    <s v="No"/>
    <n v="18"/>
    <n v="3"/>
    <n v="4"/>
    <n v="80"/>
    <n v="1"/>
    <n v="13"/>
    <n v="0"/>
    <n v="3"/>
    <n v="8"/>
    <n v="7"/>
    <n v="7"/>
    <n v="5"/>
    <x v="1"/>
    <x v="0"/>
    <x v="0"/>
  </r>
  <r>
    <n v="32"/>
    <s v="No"/>
    <s v="Travel_Rarely"/>
    <n v="128"/>
    <x v="1"/>
    <n v="2"/>
    <n v="1"/>
    <s v="Technical Degree"/>
    <n v="1"/>
    <n v="362"/>
    <n v="4"/>
    <x v="1"/>
    <n v="84"/>
    <n v="2"/>
    <n v="2"/>
    <x v="2"/>
    <x v="3"/>
    <s v="Single"/>
    <n v="2176"/>
    <n v="19737"/>
    <n v="4"/>
    <s v="Y"/>
    <s v="No"/>
    <n v="13"/>
    <n v="3"/>
    <n v="4"/>
    <n v="80"/>
    <n v="0"/>
    <n v="9"/>
    <n v="5"/>
    <n v="3"/>
    <n v="6"/>
    <n v="2"/>
    <n v="0"/>
    <n v="4"/>
    <x v="1"/>
    <x v="2"/>
    <x v="0"/>
  </r>
  <r>
    <n v="46"/>
    <s v="No"/>
    <s v="Travel_Rarely"/>
    <n v="488"/>
    <x v="0"/>
    <n v="2"/>
    <n v="3"/>
    <s v="Technical Degree"/>
    <n v="1"/>
    <n v="363"/>
    <n v="3"/>
    <x v="0"/>
    <n v="75"/>
    <n v="1"/>
    <n v="4"/>
    <x v="5"/>
    <x v="1"/>
    <s v="Married"/>
    <n v="16872"/>
    <n v="14977"/>
    <n v="3"/>
    <s v="Y"/>
    <s v="Yes"/>
    <n v="12"/>
    <n v="3"/>
    <n v="2"/>
    <n v="80"/>
    <n v="1"/>
    <n v="28"/>
    <n v="2"/>
    <n v="2"/>
    <n v="7"/>
    <n v="7"/>
    <n v="7"/>
    <n v="7"/>
    <x v="1"/>
    <x v="1"/>
    <x v="0"/>
  </r>
  <r>
    <n v="28"/>
    <s v="Yes"/>
    <s v="Travel_Rarely"/>
    <n v="529"/>
    <x v="1"/>
    <n v="2"/>
    <n v="4"/>
    <s v="Life Sciences"/>
    <n v="1"/>
    <n v="364"/>
    <n v="1"/>
    <x v="1"/>
    <n v="79"/>
    <n v="3"/>
    <n v="1"/>
    <x v="2"/>
    <x v="2"/>
    <s v="Single"/>
    <n v="3485"/>
    <n v="14935"/>
    <n v="2"/>
    <s v="Y"/>
    <s v="No"/>
    <n v="11"/>
    <n v="3"/>
    <n v="3"/>
    <n v="80"/>
    <n v="0"/>
    <n v="5"/>
    <n v="5"/>
    <n v="1"/>
    <n v="0"/>
    <n v="0"/>
    <n v="0"/>
    <n v="0"/>
    <x v="0"/>
    <x v="2"/>
    <x v="1"/>
  </r>
  <r>
    <n v="29"/>
    <s v="No"/>
    <s v="Travel_Rarely"/>
    <n v="1210"/>
    <x v="0"/>
    <n v="2"/>
    <n v="3"/>
    <s v="Medical"/>
    <n v="1"/>
    <n v="366"/>
    <n v="1"/>
    <x v="1"/>
    <n v="78"/>
    <n v="2"/>
    <n v="2"/>
    <x v="0"/>
    <x v="1"/>
    <s v="Married"/>
    <n v="6644"/>
    <n v="3687"/>
    <n v="2"/>
    <s v="Y"/>
    <s v="No"/>
    <n v="19"/>
    <n v="3"/>
    <n v="2"/>
    <n v="80"/>
    <n v="2"/>
    <n v="10"/>
    <n v="2"/>
    <n v="3"/>
    <n v="0"/>
    <n v="0"/>
    <n v="0"/>
    <n v="0"/>
    <x v="1"/>
    <x v="2"/>
    <x v="1"/>
  </r>
  <r>
    <n v="31"/>
    <s v="No"/>
    <s v="Travel_Rarely"/>
    <n v="1463"/>
    <x v="1"/>
    <n v="23"/>
    <n v="3"/>
    <s v="Medical"/>
    <n v="1"/>
    <n v="367"/>
    <n v="2"/>
    <x v="1"/>
    <n v="64"/>
    <n v="2"/>
    <n v="2"/>
    <x v="4"/>
    <x v="0"/>
    <s v="Married"/>
    <n v="5582"/>
    <n v="14408"/>
    <n v="0"/>
    <s v="Y"/>
    <s v="No"/>
    <n v="21"/>
    <n v="4"/>
    <n v="2"/>
    <n v="80"/>
    <n v="1"/>
    <n v="10"/>
    <n v="2"/>
    <n v="3"/>
    <n v="9"/>
    <n v="0"/>
    <n v="7"/>
    <n v="8"/>
    <x v="1"/>
    <x v="2"/>
    <x v="0"/>
  </r>
  <r>
    <n v="25"/>
    <s v="No"/>
    <s v="Non-Travel"/>
    <n v="675"/>
    <x v="1"/>
    <n v="5"/>
    <n v="2"/>
    <s v="Life Sciences"/>
    <n v="1"/>
    <n v="369"/>
    <n v="2"/>
    <x v="1"/>
    <n v="85"/>
    <n v="4"/>
    <n v="2"/>
    <x v="4"/>
    <x v="3"/>
    <s v="Divorced"/>
    <n v="4000"/>
    <n v="18384"/>
    <n v="1"/>
    <s v="Y"/>
    <s v="No"/>
    <n v="12"/>
    <n v="3"/>
    <n v="4"/>
    <n v="80"/>
    <n v="2"/>
    <n v="6"/>
    <n v="2"/>
    <n v="3"/>
    <n v="6"/>
    <n v="3"/>
    <n v="1"/>
    <n v="5"/>
    <x v="1"/>
    <x v="3"/>
    <x v="0"/>
  </r>
  <r>
    <n v="45"/>
    <s v="No"/>
    <s v="Travel_Rarely"/>
    <n v="1385"/>
    <x v="1"/>
    <n v="20"/>
    <n v="2"/>
    <s v="Medical"/>
    <n v="1"/>
    <n v="372"/>
    <n v="3"/>
    <x v="1"/>
    <n v="79"/>
    <n v="3"/>
    <n v="4"/>
    <x v="4"/>
    <x v="0"/>
    <s v="Married"/>
    <n v="13496"/>
    <n v="7501"/>
    <n v="0"/>
    <s v="Y"/>
    <s v="Yes"/>
    <n v="14"/>
    <n v="3"/>
    <n v="2"/>
    <n v="80"/>
    <n v="0"/>
    <n v="21"/>
    <n v="2"/>
    <n v="3"/>
    <n v="20"/>
    <n v="7"/>
    <n v="4"/>
    <n v="10"/>
    <x v="1"/>
    <x v="0"/>
    <x v="3"/>
  </r>
  <r>
    <n v="36"/>
    <s v="No"/>
    <s v="Travel_Rarely"/>
    <n v="1403"/>
    <x v="1"/>
    <n v="6"/>
    <n v="3"/>
    <s v="Life Sciences"/>
    <n v="1"/>
    <n v="373"/>
    <n v="4"/>
    <x v="1"/>
    <n v="47"/>
    <n v="3"/>
    <n v="1"/>
    <x v="2"/>
    <x v="0"/>
    <s v="Married"/>
    <n v="3210"/>
    <n v="20251"/>
    <n v="0"/>
    <s v="Y"/>
    <s v="No"/>
    <n v="11"/>
    <n v="3"/>
    <n v="3"/>
    <n v="80"/>
    <n v="1"/>
    <n v="16"/>
    <n v="4"/>
    <n v="3"/>
    <n v="15"/>
    <n v="13"/>
    <n v="10"/>
    <n v="11"/>
    <x v="1"/>
    <x v="0"/>
    <x v="3"/>
  </r>
  <r>
    <n v="55"/>
    <s v="No"/>
    <s v="Travel_Rarely"/>
    <n v="452"/>
    <x v="1"/>
    <n v="1"/>
    <n v="3"/>
    <s v="Medical"/>
    <n v="1"/>
    <n v="374"/>
    <n v="4"/>
    <x v="1"/>
    <n v="81"/>
    <n v="3"/>
    <n v="5"/>
    <x v="5"/>
    <x v="3"/>
    <s v="Single"/>
    <n v="19045"/>
    <n v="18938"/>
    <n v="0"/>
    <s v="Y"/>
    <s v="Yes"/>
    <n v="14"/>
    <n v="3"/>
    <n v="3"/>
    <n v="80"/>
    <n v="0"/>
    <n v="37"/>
    <n v="2"/>
    <n v="3"/>
    <n v="36"/>
    <n v="10"/>
    <n v="4"/>
    <n v="13"/>
    <x v="1"/>
    <x v="1"/>
    <x v="3"/>
  </r>
  <r>
    <n v="47"/>
    <s v="Yes"/>
    <s v="Non-Travel"/>
    <n v="666"/>
    <x v="1"/>
    <n v="29"/>
    <n v="4"/>
    <s v="Life Sciences"/>
    <n v="1"/>
    <n v="376"/>
    <n v="1"/>
    <x v="1"/>
    <n v="88"/>
    <n v="3"/>
    <n v="3"/>
    <x v="5"/>
    <x v="1"/>
    <s v="Married"/>
    <n v="11849"/>
    <n v="10268"/>
    <n v="1"/>
    <s v="Y"/>
    <s v="Yes"/>
    <n v="12"/>
    <n v="3"/>
    <n v="4"/>
    <n v="80"/>
    <n v="1"/>
    <n v="10"/>
    <n v="2"/>
    <n v="2"/>
    <n v="10"/>
    <n v="7"/>
    <n v="9"/>
    <n v="9"/>
    <x v="0"/>
    <x v="1"/>
    <x v="0"/>
  </r>
  <r>
    <n v="28"/>
    <s v="No"/>
    <s v="Travel_Rarely"/>
    <n v="1158"/>
    <x v="1"/>
    <n v="9"/>
    <n v="3"/>
    <s v="Medical"/>
    <n v="1"/>
    <n v="377"/>
    <n v="4"/>
    <x v="1"/>
    <n v="94"/>
    <n v="3"/>
    <n v="1"/>
    <x v="1"/>
    <x v="0"/>
    <s v="Married"/>
    <n v="2070"/>
    <n v="2613"/>
    <n v="1"/>
    <s v="Y"/>
    <s v="No"/>
    <n v="23"/>
    <n v="4"/>
    <n v="4"/>
    <n v="80"/>
    <n v="1"/>
    <n v="5"/>
    <n v="3"/>
    <n v="2"/>
    <n v="5"/>
    <n v="2"/>
    <n v="0"/>
    <n v="4"/>
    <x v="1"/>
    <x v="2"/>
    <x v="2"/>
  </r>
  <r>
    <n v="37"/>
    <s v="No"/>
    <s v="Travel_Rarely"/>
    <n v="228"/>
    <x v="0"/>
    <n v="6"/>
    <n v="4"/>
    <s v="Medical"/>
    <n v="1"/>
    <n v="378"/>
    <n v="3"/>
    <x v="1"/>
    <n v="98"/>
    <n v="3"/>
    <n v="2"/>
    <x v="0"/>
    <x v="0"/>
    <s v="Married"/>
    <n v="6502"/>
    <n v="22825"/>
    <n v="4"/>
    <s v="Y"/>
    <s v="No"/>
    <n v="14"/>
    <n v="3"/>
    <n v="2"/>
    <n v="80"/>
    <n v="1"/>
    <n v="7"/>
    <n v="5"/>
    <n v="4"/>
    <n v="5"/>
    <n v="4"/>
    <n v="0"/>
    <n v="1"/>
    <x v="1"/>
    <x v="0"/>
    <x v="2"/>
  </r>
  <r>
    <n v="21"/>
    <s v="No"/>
    <s v="Travel_Rarely"/>
    <n v="996"/>
    <x v="1"/>
    <n v="3"/>
    <n v="2"/>
    <s v="Medical"/>
    <n v="1"/>
    <n v="379"/>
    <n v="4"/>
    <x v="1"/>
    <n v="100"/>
    <n v="2"/>
    <n v="1"/>
    <x v="1"/>
    <x v="2"/>
    <s v="Single"/>
    <n v="3230"/>
    <n v="10531"/>
    <n v="1"/>
    <s v="Y"/>
    <s v="No"/>
    <n v="17"/>
    <n v="3"/>
    <n v="1"/>
    <n v="80"/>
    <n v="0"/>
    <n v="3"/>
    <n v="4"/>
    <n v="4"/>
    <n v="3"/>
    <n v="2"/>
    <n v="1"/>
    <n v="0"/>
    <x v="1"/>
    <x v="3"/>
    <x v="2"/>
  </r>
  <r>
    <n v="37"/>
    <s v="No"/>
    <s v="Non-Travel"/>
    <n v="728"/>
    <x v="1"/>
    <n v="1"/>
    <n v="4"/>
    <s v="Medical"/>
    <n v="1"/>
    <n v="380"/>
    <n v="1"/>
    <x v="0"/>
    <n v="80"/>
    <n v="3"/>
    <n v="3"/>
    <x v="7"/>
    <x v="0"/>
    <s v="Divorced"/>
    <n v="13603"/>
    <n v="11677"/>
    <n v="2"/>
    <s v="Y"/>
    <s v="Yes"/>
    <n v="18"/>
    <n v="3"/>
    <n v="1"/>
    <n v="80"/>
    <n v="2"/>
    <n v="15"/>
    <n v="2"/>
    <n v="3"/>
    <n v="5"/>
    <n v="2"/>
    <n v="0"/>
    <n v="2"/>
    <x v="1"/>
    <x v="0"/>
    <x v="2"/>
  </r>
  <r>
    <n v="35"/>
    <s v="No"/>
    <s v="Travel_Rarely"/>
    <n v="1315"/>
    <x v="1"/>
    <n v="22"/>
    <n v="3"/>
    <s v="Life Sciences"/>
    <n v="1"/>
    <n v="381"/>
    <n v="2"/>
    <x v="0"/>
    <n v="71"/>
    <n v="4"/>
    <n v="3"/>
    <x v="5"/>
    <x v="1"/>
    <s v="Divorced"/>
    <n v="11996"/>
    <n v="19100"/>
    <n v="7"/>
    <s v="Y"/>
    <s v="No"/>
    <n v="18"/>
    <n v="3"/>
    <n v="2"/>
    <n v="80"/>
    <n v="1"/>
    <n v="10"/>
    <n v="6"/>
    <n v="2"/>
    <n v="7"/>
    <n v="7"/>
    <n v="6"/>
    <n v="2"/>
    <x v="1"/>
    <x v="2"/>
    <x v="0"/>
  </r>
  <r>
    <n v="38"/>
    <s v="No"/>
    <s v="Travel_Rarely"/>
    <n v="322"/>
    <x v="0"/>
    <n v="7"/>
    <n v="2"/>
    <s v="Medical"/>
    <n v="1"/>
    <n v="382"/>
    <n v="1"/>
    <x v="0"/>
    <n v="44"/>
    <n v="4"/>
    <n v="2"/>
    <x v="0"/>
    <x v="3"/>
    <s v="Divorced"/>
    <n v="5605"/>
    <n v="19191"/>
    <n v="1"/>
    <s v="Y"/>
    <s v="Yes"/>
    <n v="24"/>
    <n v="4"/>
    <n v="3"/>
    <n v="80"/>
    <n v="1"/>
    <n v="8"/>
    <n v="3"/>
    <n v="3"/>
    <n v="8"/>
    <n v="0"/>
    <n v="7"/>
    <n v="7"/>
    <x v="1"/>
    <x v="0"/>
    <x v="0"/>
  </r>
  <r>
    <n v="26"/>
    <s v="No"/>
    <s v="Travel_Frequently"/>
    <n v="1479"/>
    <x v="1"/>
    <n v="1"/>
    <n v="3"/>
    <s v="Life Sciences"/>
    <n v="1"/>
    <n v="384"/>
    <n v="3"/>
    <x v="0"/>
    <n v="84"/>
    <n v="3"/>
    <n v="2"/>
    <x v="3"/>
    <x v="1"/>
    <s v="Divorced"/>
    <n v="6397"/>
    <n v="26767"/>
    <n v="1"/>
    <s v="Y"/>
    <s v="No"/>
    <n v="20"/>
    <n v="4"/>
    <n v="1"/>
    <n v="80"/>
    <n v="1"/>
    <n v="6"/>
    <n v="6"/>
    <n v="1"/>
    <n v="6"/>
    <n v="5"/>
    <n v="1"/>
    <n v="4"/>
    <x v="1"/>
    <x v="2"/>
    <x v="0"/>
  </r>
  <r>
    <n v="50"/>
    <s v="No"/>
    <s v="Travel_Rarely"/>
    <n v="797"/>
    <x v="1"/>
    <n v="4"/>
    <n v="1"/>
    <s v="Life Sciences"/>
    <n v="1"/>
    <n v="385"/>
    <n v="1"/>
    <x v="1"/>
    <n v="96"/>
    <n v="3"/>
    <n v="5"/>
    <x v="7"/>
    <x v="1"/>
    <s v="Divorced"/>
    <n v="19144"/>
    <n v="15815"/>
    <n v="3"/>
    <s v="Y"/>
    <s v="No"/>
    <n v="14"/>
    <n v="3"/>
    <n v="1"/>
    <n v="80"/>
    <n v="2"/>
    <n v="28"/>
    <n v="4"/>
    <n v="2"/>
    <n v="10"/>
    <n v="4"/>
    <n v="1"/>
    <n v="6"/>
    <x v="1"/>
    <x v="1"/>
    <x v="0"/>
  </r>
  <r>
    <n v="53"/>
    <s v="No"/>
    <s v="Travel_Rarely"/>
    <n v="1070"/>
    <x v="1"/>
    <n v="3"/>
    <n v="4"/>
    <s v="Medical"/>
    <n v="1"/>
    <n v="386"/>
    <n v="3"/>
    <x v="1"/>
    <n v="45"/>
    <n v="3"/>
    <n v="4"/>
    <x v="7"/>
    <x v="2"/>
    <s v="Married"/>
    <n v="17584"/>
    <n v="21016"/>
    <n v="3"/>
    <s v="Y"/>
    <s v="Yes"/>
    <n v="16"/>
    <n v="3"/>
    <n v="4"/>
    <n v="80"/>
    <n v="3"/>
    <n v="21"/>
    <n v="5"/>
    <n v="2"/>
    <n v="5"/>
    <n v="3"/>
    <n v="1"/>
    <n v="3"/>
    <x v="1"/>
    <x v="1"/>
    <x v="2"/>
  </r>
  <r>
    <n v="42"/>
    <s v="No"/>
    <s v="Travel_Rarely"/>
    <n v="635"/>
    <x v="0"/>
    <n v="1"/>
    <n v="1"/>
    <s v="Life Sciences"/>
    <n v="1"/>
    <n v="387"/>
    <n v="2"/>
    <x v="1"/>
    <n v="99"/>
    <n v="3"/>
    <n v="2"/>
    <x v="0"/>
    <x v="2"/>
    <s v="Married"/>
    <n v="4907"/>
    <n v="24532"/>
    <n v="1"/>
    <s v="Y"/>
    <s v="No"/>
    <n v="25"/>
    <n v="4"/>
    <n v="3"/>
    <n v="80"/>
    <n v="0"/>
    <n v="20"/>
    <n v="3"/>
    <n v="3"/>
    <n v="20"/>
    <n v="16"/>
    <n v="11"/>
    <n v="6"/>
    <x v="1"/>
    <x v="0"/>
    <x v="3"/>
  </r>
  <r>
    <n v="29"/>
    <s v="No"/>
    <s v="Travel_Frequently"/>
    <n v="442"/>
    <x v="0"/>
    <n v="2"/>
    <n v="2"/>
    <s v="Life Sciences"/>
    <n v="1"/>
    <n v="388"/>
    <n v="2"/>
    <x v="1"/>
    <n v="44"/>
    <n v="3"/>
    <n v="2"/>
    <x v="0"/>
    <x v="0"/>
    <s v="Single"/>
    <n v="4554"/>
    <n v="20260"/>
    <n v="1"/>
    <s v="Y"/>
    <s v="No"/>
    <n v="18"/>
    <n v="3"/>
    <n v="1"/>
    <n v="80"/>
    <n v="0"/>
    <n v="10"/>
    <n v="3"/>
    <n v="2"/>
    <n v="10"/>
    <n v="7"/>
    <n v="0"/>
    <n v="9"/>
    <x v="1"/>
    <x v="2"/>
    <x v="0"/>
  </r>
  <r>
    <n v="55"/>
    <s v="No"/>
    <s v="Travel_Rarely"/>
    <n v="147"/>
    <x v="1"/>
    <n v="20"/>
    <n v="2"/>
    <s v="Technical Degree"/>
    <n v="1"/>
    <n v="389"/>
    <n v="2"/>
    <x v="1"/>
    <n v="37"/>
    <n v="3"/>
    <n v="2"/>
    <x v="2"/>
    <x v="0"/>
    <s v="Married"/>
    <n v="5415"/>
    <n v="15972"/>
    <n v="3"/>
    <s v="Y"/>
    <s v="Yes"/>
    <n v="19"/>
    <n v="3"/>
    <n v="4"/>
    <n v="80"/>
    <n v="1"/>
    <n v="12"/>
    <n v="4"/>
    <n v="3"/>
    <n v="10"/>
    <n v="7"/>
    <n v="0"/>
    <n v="8"/>
    <x v="1"/>
    <x v="1"/>
    <x v="0"/>
  </r>
  <r>
    <n v="26"/>
    <s v="No"/>
    <s v="Travel_Frequently"/>
    <n v="496"/>
    <x v="1"/>
    <n v="11"/>
    <n v="2"/>
    <s v="Medical"/>
    <n v="1"/>
    <n v="390"/>
    <n v="1"/>
    <x v="1"/>
    <n v="60"/>
    <n v="3"/>
    <n v="2"/>
    <x v="4"/>
    <x v="3"/>
    <s v="Married"/>
    <n v="4741"/>
    <n v="22722"/>
    <n v="1"/>
    <s v="Y"/>
    <s v="Yes"/>
    <n v="13"/>
    <n v="3"/>
    <n v="3"/>
    <n v="80"/>
    <n v="1"/>
    <n v="5"/>
    <n v="3"/>
    <n v="3"/>
    <n v="5"/>
    <n v="3"/>
    <n v="3"/>
    <n v="3"/>
    <x v="1"/>
    <x v="2"/>
    <x v="2"/>
  </r>
  <r>
    <n v="37"/>
    <s v="No"/>
    <s v="Travel_Rarely"/>
    <n v="1372"/>
    <x v="1"/>
    <n v="1"/>
    <n v="3"/>
    <s v="Life Sciences"/>
    <n v="1"/>
    <n v="391"/>
    <n v="4"/>
    <x v="0"/>
    <n v="42"/>
    <n v="3"/>
    <n v="1"/>
    <x v="1"/>
    <x v="0"/>
    <s v="Single"/>
    <n v="2115"/>
    <n v="15881"/>
    <n v="1"/>
    <s v="Y"/>
    <s v="No"/>
    <n v="12"/>
    <n v="3"/>
    <n v="2"/>
    <n v="80"/>
    <n v="0"/>
    <n v="17"/>
    <n v="3"/>
    <n v="3"/>
    <n v="17"/>
    <n v="12"/>
    <n v="5"/>
    <n v="7"/>
    <x v="1"/>
    <x v="0"/>
    <x v="3"/>
  </r>
  <r>
    <n v="44"/>
    <s v="Yes"/>
    <s v="Travel_Frequently"/>
    <n v="920"/>
    <x v="1"/>
    <n v="24"/>
    <n v="3"/>
    <s v="Life Sciences"/>
    <n v="1"/>
    <n v="392"/>
    <n v="4"/>
    <x v="1"/>
    <n v="43"/>
    <n v="3"/>
    <n v="1"/>
    <x v="2"/>
    <x v="2"/>
    <s v="Divorced"/>
    <n v="3161"/>
    <n v="19920"/>
    <n v="3"/>
    <s v="Y"/>
    <s v="Yes"/>
    <n v="22"/>
    <n v="4"/>
    <n v="4"/>
    <n v="80"/>
    <n v="1"/>
    <n v="19"/>
    <n v="0"/>
    <n v="1"/>
    <n v="1"/>
    <n v="0"/>
    <n v="0"/>
    <n v="0"/>
    <x v="0"/>
    <x v="0"/>
    <x v="1"/>
  </r>
  <r>
    <n v="38"/>
    <s v="No"/>
    <s v="Travel_Rarely"/>
    <n v="688"/>
    <x v="1"/>
    <n v="23"/>
    <n v="4"/>
    <s v="Life Sciences"/>
    <n v="1"/>
    <n v="393"/>
    <n v="4"/>
    <x v="1"/>
    <n v="82"/>
    <n v="3"/>
    <n v="2"/>
    <x v="4"/>
    <x v="0"/>
    <s v="Divorced"/>
    <n v="5745"/>
    <n v="18899"/>
    <n v="9"/>
    <s v="Y"/>
    <s v="No"/>
    <n v="14"/>
    <n v="3"/>
    <n v="2"/>
    <n v="80"/>
    <n v="1"/>
    <n v="10"/>
    <n v="2"/>
    <n v="3"/>
    <n v="2"/>
    <n v="2"/>
    <n v="1"/>
    <n v="2"/>
    <x v="1"/>
    <x v="0"/>
    <x v="1"/>
  </r>
  <r>
    <n v="26"/>
    <s v="Yes"/>
    <s v="Travel_Rarely"/>
    <n v="1449"/>
    <x v="1"/>
    <n v="16"/>
    <n v="4"/>
    <s v="Medical"/>
    <n v="1"/>
    <n v="394"/>
    <n v="1"/>
    <x v="1"/>
    <n v="45"/>
    <n v="3"/>
    <n v="1"/>
    <x v="2"/>
    <x v="1"/>
    <s v="Divorced"/>
    <n v="2373"/>
    <n v="14180"/>
    <n v="2"/>
    <s v="Y"/>
    <s v="Yes"/>
    <n v="13"/>
    <n v="3"/>
    <n v="4"/>
    <n v="80"/>
    <n v="1"/>
    <n v="5"/>
    <n v="2"/>
    <n v="3"/>
    <n v="3"/>
    <n v="2"/>
    <n v="0"/>
    <n v="2"/>
    <x v="0"/>
    <x v="2"/>
    <x v="2"/>
  </r>
  <r>
    <n v="28"/>
    <s v="No"/>
    <s v="Travel_Rarely"/>
    <n v="1117"/>
    <x v="1"/>
    <n v="8"/>
    <n v="2"/>
    <s v="Life Sciences"/>
    <n v="1"/>
    <n v="395"/>
    <n v="4"/>
    <x v="0"/>
    <n v="66"/>
    <n v="3"/>
    <n v="1"/>
    <x v="1"/>
    <x v="0"/>
    <s v="Single"/>
    <n v="3310"/>
    <n v="4488"/>
    <n v="1"/>
    <s v="Y"/>
    <s v="No"/>
    <n v="21"/>
    <n v="4"/>
    <n v="4"/>
    <n v="80"/>
    <n v="0"/>
    <n v="5"/>
    <n v="3"/>
    <n v="3"/>
    <n v="5"/>
    <n v="3"/>
    <n v="0"/>
    <n v="2"/>
    <x v="1"/>
    <x v="2"/>
    <x v="2"/>
  </r>
  <r>
    <n v="49"/>
    <s v="No"/>
    <s v="Travel_Frequently"/>
    <n v="636"/>
    <x v="1"/>
    <n v="10"/>
    <n v="4"/>
    <s v="Life Sciences"/>
    <n v="1"/>
    <n v="396"/>
    <n v="3"/>
    <x v="0"/>
    <n v="35"/>
    <n v="3"/>
    <n v="5"/>
    <x v="7"/>
    <x v="3"/>
    <s v="Single"/>
    <n v="18665"/>
    <n v="25594"/>
    <n v="9"/>
    <s v="Y"/>
    <s v="Yes"/>
    <n v="11"/>
    <n v="3"/>
    <n v="4"/>
    <n v="80"/>
    <n v="0"/>
    <n v="22"/>
    <n v="4"/>
    <n v="3"/>
    <n v="3"/>
    <n v="2"/>
    <n v="1"/>
    <n v="2"/>
    <x v="1"/>
    <x v="1"/>
    <x v="2"/>
  </r>
  <r>
    <n v="36"/>
    <s v="No"/>
    <s v="Travel_Rarely"/>
    <n v="506"/>
    <x v="1"/>
    <n v="3"/>
    <n v="3"/>
    <s v="Technical Degree"/>
    <n v="1"/>
    <n v="397"/>
    <n v="3"/>
    <x v="1"/>
    <n v="30"/>
    <n v="3"/>
    <n v="2"/>
    <x v="1"/>
    <x v="1"/>
    <s v="Single"/>
    <n v="4485"/>
    <n v="26285"/>
    <n v="4"/>
    <s v="Y"/>
    <s v="No"/>
    <n v="12"/>
    <n v="3"/>
    <n v="4"/>
    <n v="80"/>
    <n v="0"/>
    <n v="10"/>
    <n v="2"/>
    <n v="3"/>
    <n v="8"/>
    <n v="0"/>
    <n v="7"/>
    <n v="7"/>
    <x v="1"/>
    <x v="0"/>
    <x v="0"/>
  </r>
  <r>
    <n v="31"/>
    <s v="No"/>
    <s v="Travel_Frequently"/>
    <n v="444"/>
    <x v="0"/>
    <n v="5"/>
    <n v="3"/>
    <s v="Marketing"/>
    <n v="1"/>
    <n v="399"/>
    <n v="4"/>
    <x v="0"/>
    <n v="84"/>
    <n v="3"/>
    <n v="1"/>
    <x v="6"/>
    <x v="1"/>
    <s v="Divorced"/>
    <n v="2789"/>
    <n v="3909"/>
    <n v="1"/>
    <s v="Y"/>
    <s v="No"/>
    <n v="11"/>
    <n v="3"/>
    <n v="3"/>
    <n v="80"/>
    <n v="1"/>
    <n v="2"/>
    <n v="5"/>
    <n v="2"/>
    <n v="2"/>
    <n v="2"/>
    <n v="2"/>
    <n v="2"/>
    <x v="1"/>
    <x v="2"/>
    <x v="1"/>
  </r>
  <r>
    <n v="26"/>
    <s v="Yes"/>
    <s v="Travel_Rarely"/>
    <n v="950"/>
    <x v="0"/>
    <n v="4"/>
    <n v="4"/>
    <s v="Marketing"/>
    <n v="1"/>
    <n v="401"/>
    <n v="4"/>
    <x v="1"/>
    <n v="48"/>
    <n v="2"/>
    <n v="2"/>
    <x v="0"/>
    <x v="0"/>
    <s v="Single"/>
    <n v="5828"/>
    <n v="8450"/>
    <n v="1"/>
    <s v="Y"/>
    <s v="Yes"/>
    <n v="12"/>
    <n v="3"/>
    <n v="2"/>
    <n v="80"/>
    <n v="0"/>
    <n v="8"/>
    <n v="0"/>
    <n v="3"/>
    <n v="8"/>
    <n v="7"/>
    <n v="7"/>
    <n v="4"/>
    <x v="0"/>
    <x v="2"/>
    <x v="0"/>
  </r>
  <r>
    <n v="37"/>
    <s v="No"/>
    <s v="Travel_Frequently"/>
    <n v="889"/>
    <x v="1"/>
    <n v="9"/>
    <n v="3"/>
    <s v="Medical"/>
    <n v="1"/>
    <n v="403"/>
    <n v="2"/>
    <x v="1"/>
    <n v="53"/>
    <n v="3"/>
    <n v="1"/>
    <x v="1"/>
    <x v="0"/>
    <s v="Married"/>
    <n v="2326"/>
    <n v="11411"/>
    <n v="1"/>
    <s v="Y"/>
    <s v="Yes"/>
    <n v="12"/>
    <n v="3"/>
    <n v="3"/>
    <n v="80"/>
    <n v="3"/>
    <n v="4"/>
    <n v="3"/>
    <n v="2"/>
    <n v="4"/>
    <n v="2"/>
    <n v="1"/>
    <n v="2"/>
    <x v="1"/>
    <x v="0"/>
    <x v="2"/>
  </r>
  <r>
    <n v="42"/>
    <s v="No"/>
    <s v="Travel_Frequently"/>
    <n v="555"/>
    <x v="0"/>
    <n v="26"/>
    <n v="3"/>
    <s v="Marketing"/>
    <n v="1"/>
    <n v="404"/>
    <n v="3"/>
    <x v="0"/>
    <n v="77"/>
    <n v="3"/>
    <n v="4"/>
    <x v="0"/>
    <x v="1"/>
    <s v="Married"/>
    <n v="13525"/>
    <n v="14864"/>
    <n v="5"/>
    <s v="Y"/>
    <s v="No"/>
    <n v="14"/>
    <n v="3"/>
    <n v="4"/>
    <n v="80"/>
    <n v="1"/>
    <n v="23"/>
    <n v="2"/>
    <n v="4"/>
    <n v="20"/>
    <n v="4"/>
    <n v="4"/>
    <n v="8"/>
    <x v="1"/>
    <x v="0"/>
    <x v="3"/>
  </r>
  <r>
    <n v="18"/>
    <s v="Yes"/>
    <s v="Travel_Rarely"/>
    <n v="230"/>
    <x v="1"/>
    <n v="3"/>
    <n v="3"/>
    <s v="Life Sciences"/>
    <n v="1"/>
    <n v="405"/>
    <n v="3"/>
    <x v="1"/>
    <n v="54"/>
    <n v="3"/>
    <n v="1"/>
    <x v="2"/>
    <x v="2"/>
    <s v="Single"/>
    <n v="1420"/>
    <n v="25233"/>
    <n v="1"/>
    <s v="Y"/>
    <s v="No"/>
    <n v="13"/>
    <n v="3"/>
    <n v="3"/>
    <n v="80"/>
    <n v="0"/>
    <n v="0"/>
    <n v="2"/>
    <n v="3"/>
    <n v="0"/>
    <n v="0"/>
    <n v="0"/>
    <n v="0"/>
    <x v="0"/>
    <x v="3"/>
    <x v="1"/>
  </r>
  <r>
    <n v="35"/>
    <s v="No"/>
    <s v="Travel_Rarely"/>
    <n v="1232"/>
    <x v="0"/>
    <n v="16"/>
    <n v="3"/>
    <s v="Marketing"/>
    <n v="1"/>
    <n v="406"/>
    <n v="3"/>
    <x v="1"/>
    <n v="96"/>
    <n v="3"/>
    <n v="3"/>
    <x v="0"/>
    <x v="1"/>
    <s v="Married"/>
    <n v="8020"/>
    <n v="5100"/>
    <n v="0"/>
    <s v="Y"/>
    <s v="No"/>
    <n v="15"/>
    <n v="3"/>
    <n v="3"/>
    <n v="80"/>
    <n v="2"/>
    <n v="12"/>
    <n v="3"/>
    <n v="2"/>
    <n v="11"/>
    <n v="9"/>
    <n v="6"/>
    <n v="9"/>
    <x v="1"/>
    <x v="2"/>
    <x v="3"/>
  </r>
  <r>
    <n v="36"/>
    <s v="No"/>
    <s v="Travel_Frequently"/>
    <n v="566"/>
    <x v="1"/>
    <n v="18"/>
    <n v="4"/>
    <s v="Life Sciences"/>
    <n v="1"/>
    <n v="407"/>
    <n v="3"/>
    <x v="1"/>
    <n v="81"/>
    <n v="4"/>
    <n v="1"/>
    <x v="2"/>
    <x v="0"/>
    <s v="Married"/>
    <n v="3688"/>
    <n v="7122"/>
    <n v="4"/>
    <s v="Y"/>
    <s v="No"/>
    <n v="18"/>
    <n v="3"/>
    <n v="4"/>
    <n v="80"/>
    <n v="2"/>
    <n v="4"/>
    <n v="2"/>
    <n v="3"/>
    <n v="1"/>
    <n v="0"/>
    <n v="0"/>
    <n v="0"/>
    <x v="1"/>
    <x v="0"/>
    <x v="1"/>
  </r>
  <r>
    <n v="51"/>
    <s v="No"/>
    <s v="Travel_Rarely"/>
    <n v="1302"/>
    <x v="1"/>
    <n v="2"/>
    <n v="3"/>
    <s v="Medical"/>
    <n v="1"/>
    <n v="408"/>
    <n v="4"/>
    <x v="1"/>
    <n v="84"/>
    <n v="1"/>
    <n v="2"/>
    <x v="3"/>
    <x v="1"/>
    <s v="Divorced"/>
    <n v="5482"/>
    <n v="16321"/>
    <n v="5"/>
    <s v="Y"/>
    <s v="No"/>
    <n v="18"/>
    <n v="3"/>
    <n v="4"/>
    <n v="80"/>
    <n v="1"/>
    <n v="13"/>
    <n v="3"/>
    <n v="3"/>
    <n v="4"/>
    <n v="1"/>
    <n v="1"/>
    <n v="2"/>
    <x v="1"/>
    <x v="1"/>
    <x v="2"/>
  </r>
  <r>
    <n v="41"/>
    <s v="No"/>
    <s v="Travel_Rarely"/>
    <n v="334"/>
    <x v="0"/>
    <n v="2"/>
    <n v="4"/>
    <s v="Life Sciences"/>
    <n v="1"/>
    <n v="410"/>
    <n v="4"/>
    <x v="1"/>
    <n v="88"/>
    <n v="3"/>
    <n v="4"/>
    <x v="5"/>
    <x v="1"/>
    <s v="Single"/>
    <n v="16015"/>
    <n v="15896"/>
    <n v="1"/>
    <s v="Y"/>
    <s v="No"/>
    <n v="19"/>
    <n v="3"/>
    <n v="2"/>
    <n v="80"/>
    <n v="0"/>
    <n v="22"/>
    <n v="2"/>
    <n v="3"/>
    <n v="22"/>
    <n v="10"/>
    <n v="0"/>
    <n v="4"/>
    <x v="1"/>
    <x v="0"/>
    <x v="3"/>
  </r>
  <r>
    <n v="18"/>
    <s v="No"/>
    <s v="Travel_Rarely"/>
    <n v="812"/>
    <x v="0"/>
    <n v="10"/>
    <n v="3"/>
    <s v="Medical"/>
    <n v="1"/>
    <n v="411"/>
    <n v="4"/>
    <x v="0"/>
    <n v="69"/>
    <n v="2"/>
    <n v="1"/>
    <x v="6"/>
    <x v="2"/>
    <s v="Single"/>
    <n v="1200"/>
    <n v="9724"/>
    <n v="1"/>
    <s v="Y"/>
    <s v="No"/>
    <n v="12"/>
    <n v="3"/>
    <n v="1"/>
    <n v="80"/>
    <n v="0"/>
    <n v="0"/>
    <n v="2"/>
    <n v="3"/>
    <n v="0"/>
    <n v="0"/>
    <n v="0"/>
    <n v="0"/>
    <x v="1"/>
    <x v="3"/>
    <x v="1"/>
  </r>
  <r>
    <n v="28"/>
    <s v="No"/>
    <s v="Travel_Rarely"/>
    <n v="1476"/>
    <x v="1"/>
    <n v="16"/>
    <n v="2"/>
    <s v="Medical"/>
    <n v="1"/>
    <n v="412"/>
    <n v="2"/>
    <x v="1"/>
    <n v="68"/>
    <n v="4"/>
    <n v="2"/>
    <x v="4"/>
    <x v="3"/>
    <s v="Single"/>
    <n v="5661"/>
    <n v="4824"/>
    <n v="0"/>
    <s v="Y"/>
    <s v="No"/>
    <n v="19"/>
    <n v="3"/>
    <n v="3"/>
    <n v="80"/>
    <n v="0"/>
    <n v="9"/>
    <n v="2"/>
    <n v="3"/>
    <n v="8"/>
    <n v="3"/>
    <n v="0"/>
    <n v="7"/>
    <x v="1"/>
    <x v="2"/>
    <x v="0"/>
  </r>
  <r>
    <n v="31"/>
    <s v="No"/>
    <s v="Travel_Rarely"/>
    <n v="218"/>
    <x v="0"/>
    <n v="7"/>
    <n v="3"/>
    <s v="Technical Degree"/>
    <n v="1"/>
    <n v="416"/>
    <n v="2"/>
    <x v="1"/>
    <n v="100"/>
    <n v="4"/>
    <n v="2"/>
    <x v="0"/>
    <x v="0"/>
    <s v="Married"/>
    <n v="6929"/>
    <n v="12241"/>
    <n v="4"/>
    <s v="Y"/>
    <s v="No"/>
    <n v="11"/>
    <n v="3"/>
    <n v="2"/>
    <n v="80"/>
    <n v="1"/>
    <n v="10"/>
    <n v="3"/>
    <n v="2"/>
    <n v="8"/>
    <n v="7"/>
    <n v="7"/>
    <n v="7"/>
    <x v="1"/>
    <x v="2"/>
    <x v="0"/>
  </r>
  <r>
    <n v="39"/>
    <s v="No"/>
    <s v="Travel_Rarely"/>
    <n v="1132"/>
    <x v="1"/>
    <n v="1"/>
    <n v="3"/>
    <s v="Medical"/>
    <n v="1"/>
    <n v="417"/>
    <n v="3"/>
    <x v="1"/>
    <n v="48"/>
    <n v="4"/>
    <n v="3"/>
    <x v="4"/>
    <x v="0"/>
    <s v="Divorced"/>
    <n v="9613"/>
    <n v="10942"/>
    <n v="0"/>
    <s v="Y"/>
    <s v="No"/>
    <n v="17"/>
    <n v="3"/>
    <n v="1"/>
    <n v="80"/>
    <n v="3"/>
    <n v="19"/>
    <n v="5"/>
    <n v="2"/>
    <n v="18"/>
    <n v="10"/>
    <n v="3"/>
    <n v="7"/>
    <x v="1"/>
    <x v="0"/>
    <x v="3"/>
  </r>
  <r>
    <n v="36"/>
    <s v="No"/>
    <s v="Non-Travel"/>
    <n v="1105"/>
    <x v="1"/>
    <n v="24"/>
    <n v="4"/>
    <s v="Life Sciences"/>
    <n v="1"/>
    <n v="419"/>
    <n v="2"/>
    <x v="0"/>
    <n v="47"/>
    <n v="3"/>
    <n v="2"/>
    <x v="2"/>
    <x v="1"/>
    <s v="Married"/>
    <n v="5674"/>
    <n v="6927"/>
    <n v="7"/>
    <s v="Y"/>
    <s v="No"/>
    <n v="15"/>
    <n v="3"/>
    <n v="3"/>
    <n v="80"/>
    <n v="1"/>
    <n v="11"/>
    <n v="3"/>
    <n v="3"/>
    <n v="9"/>
    <n v="8"/>
    <n v="0"/>
    <n v="8"/>
    <x v="1"/>
    <x v="0"/>
    <x v="0"/>
  </r>
  <r>
    <n v="32"/>
    <s v="No"/>
    <s v="Travel_Rarely"/>
    <n v="906"/>
    <x v="0"/>
    <n v="7"/>
    <n v="3"/>
    <s v="Life Sciences"/>
    <n v="1"/>
    <n v="420"/>
    <n v="4"/>
    <x v="1"/>
    <n v="91"/>
    <n v="2"/>
    <n v="2"/>
    <x v="0"/>
    <x v="2"/>
    <s v="Married"/>
    <n v="5484"/>
    <n v="16985"/>
    <n v="1"/>
    <s v="Y"/>
    <s v="No"/>
    <n v="14"/>
    <n v="3"/>
    <n v="3"/>
    <n v="80"/>
    <n v="1"/>
    <n v="13"/>
    <n v="3"/>
    <n v="2"/>
    <n v="13"/>
    <n v="8"/>
    <n v="4"/>
    <n v="8"/>
    <x v="1"/>
    <x v="2"/>
    <x v="3"/>
  </r>
  <r>
    <n v="38"/>
    <s v="No"/>
    <s v="Travel_Rarely"/>
    <n v="849"/>
    <x v="1"/>
    <n v="25"/>
    <n v="2"/>
    <s v="Life Sciences"/>
    <n v="1"/>
    <n v="421"/>
    <n v="1"/>
    <x v="0"/>
    <n v="81"/>
    <n v="2"/>
    <n v="3"/>
    <x v="7"/>
    <x v="1"/>
    <s v="Married"/>
    <n v="12061"/>
    <n v="26707"/>
    <n v="3"/>
    <s v="Y"/>
    <s v="No"/>
    <n v="17"/>
    <n v="3"/>
    <n v="3"/>
    <n v="80"/>
    <n v="1"/>
    <n v="19"/>
    <n v="2"/>
    <n v="3"/>
    <n v="10"/>
    <n v="8"/>
    <n v="0"/>
    <n v="1"/>
    <x v="1"/>
    <x v="0"/>
    <x v="0"/>
  </r>
  <r>
    <n v="58"/>
    <s v="No"/>
    <s v="Non-Travel"/>
    <n v="390"/>
    <x v="1"/>
    <n v="1"/>
    <n v="4"/>
    <s v="Life Sciences"/>
    <n v="1"/>
    <n v="422"/>
    <n v="4"/>
    <x v="1"/>
    <n v="32"/>
    <n v="1"/>
    <n v="2"/>
    <x v="4"/>
    <x v="2"/>
    <s v="Divorced"/>
    <n v="5660"/>
    <n v="17056"/>
    <n v="2"/>
    <s v="Y"/>
    <s v="Yes"/>
    <n v="13"/>
    <n v="3"/>
    <n v="4"/>
    <n v="80"/>
    <n v="1"/>
    <n v="12"/>
    <n v="2"/>
    <n v="3"/>
    <n v="5"/>
    <n v="3"/>
    <n v="1"/>
    <n v="2"/>
    <x v="1"/>
    <x v="1"/>
    <x v="2"/>
  </r>
  <r>
    <n v="31"/>
    <s v="No"/>
    <s v="Travel_Rarely"/>
    <n v="691"/>
    <x v="1"/>
    <n v="5"/>
    <n v="4"/>
    <s v="Technical Degree"/>
    <n v="1"/>
    <n v="423"/>
    <n v="3"/>
    <x v="1"/>
    <n v="86"/>
    <n v="3"/>
    <n v="1"/>
    <x v="1"/>
    <x v="0"/>
    <s v="Married"/>
    <n v="4821"/>
    <n v="10077"/>
    <n v="0"/>
    <s v="Y"/>
    <s v="Yes"/>
    <n v="12"/>
    <n v="3"/>
    <n v="3"/>
    <n v="80"/>
    <n v="1"/>
    <n v="6"/>
    <n v="4"/>
    <n v="3"/>
    <n v="5"/>
    <n v="2"/>
    <n v="0"/>
    <n v="3"/>
    <x v="1"/>
    <x v="2"/>
    <x v="2"/>
  </r>
  <r>
    <n v="31"/>
    <s v="No"/>
    <s v="Travel_Rarely"/>
    <n v="106"/>
    <x v="2"/>
    <n v="2"/>
    <n v="3"/>
    <s v="Human Resources"/>
    <n v="1"/>
    <n v="424"/>
    <n v="1"/>
    <x v="1"/>
    <n v="62"/>
    <n v="2"/>
    <n v="2"/>
    <x v="8"/>
    <x v="3"/>
    <s v="Married"/>
    <n v="6410"/>
    <n v="17822"/>
    <n v="3"/>
    <s v="Y"/>
    <s v="No"/>
    <n v="12"/>
    <n v="3"/>
    <n v="4"/>
    <n v="80"/>
    <n v="0"/>
    <n v="9"/>
    <n v="1"/>
    <n v="3"/>
    <n v="2"/>
    <n v="2"/>
    <n v="1"/>
    <n v="0"/>
    <x v="1"/>
    <x v="2"/>
    <x v="1"/>
  </r>
  <r>
    <n v="45"/>
    <s v="No"/>
    <s v="Travel_Frequently"/>
    <n v="1249"/>
    <x v="1"/>
    <n v="7"/>
    <n v="3"/>
    <s v="Life Sciences"/>
    <n v="1"/>
    <n v="425"/>
    <n v="1"/>
    <x v="1"/>
    <n v="97"/>
    <n v="3"/>
    <n v="3"/>
    <x v="2"/>
    <x v="3"/>
    <s v="Divorced"/>
    <n v="5210"/>
    <n v="20308"/>
    <n v="1"/>
    <s v="Y"/>
    <s v="No"/>
    <n v="18"/>
    <n v="3"/>
    <n v="1"/>
    <n v="80"/>
    <n v="1"/>
    <n v="24"/>
    <n v="2"/>
    <n v="3"/>
    <n v="24"/>
    <n v="9"/>
    <n v="9"/>
    <n v="11"/>
    <x v="1"/>
    <x v="0"/>
    <x v="3"/>
  </r>
  <r>
    <n v="31"/>
    <s v="No"/>
    <s v="Travel_Rarely"/>
    <n v="192"/>
    <x v="1"/>
    <n v="2"/>
    <n v="4"/>
    <s v="Life Sciences"/>
    <n v="1"/>
    <n v="426"/>
    <n v="3"/>
    <x v="1"/>
    <n v="32"/>
    <n v="3"/>
    <n v="1"/>
    <x v="1"/>
    <x v="0"/>
    <s v="Divorced"/>
    <n v="2695"/>
    <n v="7747"/>
    <n v="0"/>
    <s v="Y"/>
    <s v="Yes"/>
    <n v="18"/>
    <n v="3"/>
    <n v="2"/>
    <n v="80"/>
    <n v="1"/>
    <n v="3"/>
    <n v="2"/>
    <n v="1"/>
    <n v="2"/>
    <n v="2"/>
    <n v="2"/>
    <n v="2"/>
    <x v="1"/>
    <x v="2"/>
    <x v="1"/>
  </r>
  <r>
    <n v="33"/>
    <s v="No"/>
    <s v="Travel_Frequently"/>
    <n v="553"/>
    <x v="1"/>
    <n v="5"/>
    <n v="4"/>
    <s v="Life Sciences"/>
    <n v="1"/>
    <n v="428"/>
    <n v="4"/>
    <x v="0"/>
    <n v="74"/>
    <n v="3"/>
    <n v="3"/>
    <x v="5"/>
    <x v="1"/>
    <s v="Married"/>
    <n v="11878"/>
    <n v="23364"/>
    <n v="6"/>
    <s v="Y"/>
    <s v="No"/>
    <n v="11"/>
    <n v="3"/>
    <n v="2"/>
    <n v="80"/>
    <n v="2"/>
    <n v="12"/>
    <n v="2"/>
    <n v="3"/>
    <n v="10"/>
    <n v="6"/>
    <n v="8"/>
    <n v="8"/>
    <x v="1"/>
    <x v="2"/>
    <x v="0"/>
  </r>
  <r>
    <n v="39"/>
    <s v="No"/>
    <s v="Travel_Rarely"/>
    <n v="117"/>
    <x v="1"/>
    <n v="10"/>
    <n v="1"/>
    <s v="Medical"/>
    <n v="1"/>
    <n v="429"/>
    <n v="3"/>
    <x v="1"/>
    <n v="99"/>
    <n v="3"/>
    <n v="4"/>
    <x v="5"/>
    <x v="3"/>
    <s v="Married"/>
    <n v="17068"/>
    <n v="5355"/>
    <n v="1"/>
    <s v="Y"/>
    <s v="Yes"/>
    <n v="14"/>
    <n v="3"/>
    <n v="4"/>
    <n v="80"/>
    <n v="0"/>
    <n v="21"/>
    <n v="3"/>
    <n v="3"/>
    <n v="21"/>
    <n v="9"/>
    <n v="11"/>
    <n v="10"/>
    <x v="1"/>
    <x v="0"/>
    <x v="3"/>
  </r>
  <r>
    <n v="43"/>
    <s v="No"/>
    <s v="Travel_Frequently"/>
    <n v="185"/>
    <x v="1"/>
    <n v="10"/>
    <n v="4"/>
    <s v="Life Sciences"/>
    <n v="1"/>
    <n v="430"/>
    <n v="3"/>
    <x v="0"/>
    <n v="33"/>
    <n v="3"/>
    <n v="1"/>
    <x v="2"/>
    <x v="0"/>
    <s v="Single"/>
    <n v="2455"/>
    <n v="10675"/>
    <n v="0"/>
    <s v="Y"/>
    <s v="No"/>
    <n v="19"/>
    <n v="3"/>
    <n v="1"/>
    <n v="80"/>
    <n v="0"/>
    <n v="9"/>
    <n v="5"/>
    <n v="3"/>
    <n v="8"/>
    <n v="7"/>
    <n v="1"/>
    <n v="7"/>
    <x v="1"/>
    <x v="0"/>
    <x v="0"/>
  </r>
  <r>
    <n v="49"/>
    <s v="No"/>
    <s v="Travel_Rarely"/>
    <n v="1091"/>
    <x v="1"/>
    <n v="1"/>
    <n v="2"/>
    <s v="Technical Degree"/>
    <n v="1"/>
    <n v="431"/>
    <n v="3"/>
    <x v="0"/>
    <n v="90"/>
    <n v="2"/>
    <n v="4"/>
    <x v="4"/>
    <x v="2"/>
    <s v="Single"/>
    <n v="13964"/>
    <n v="17810"/>
    <n v="7"/>
    <s v="Y"/>
    <s v="Yes"/>
    <n v="12"/>
    <n v="3"/>
    <n v="4"/>
    <n v="80"/>
    <n v="0"/>
    <n v="25"/>
    <n v="2"/>
    <n v="3"/>
    <n v="7"/>
    <n v="1"/>
    <n v="0"/>
    <n v="7"/>
    <x v="1"/>
    <x v="1"/>
    <x v="0"/>
  </r>
  <r>
    <n v="52"/>
    <s v="Yes"/>
    <s v="Travel_Rarely"/>
    <n v="723"/>
    <x v="1"/>
    <n v="8"/>
    <n v="4"/>
    <s v="Medical"/>
    <n v="1"/>
    <n v="433"/>
    <n v="3"/>
    <x v="1"/>
    <n v="85"/>
    <n v="2"/>
    <n v="2"/>
    <x v="1"/>
    <x v="1"/>
    <s v="Married"/>
    <n v="4941"/>
    <n v="17747"/>
    <n v="2"/>
    <s v="Y"/>
    <s v="No"/>
    <n v="15"/>
    <n v="3"/>
    <n v="1"/>
    <n v="80"/>
    <n v="0"/>
    <n v="11"/>
    <n v="3"/>
    <n v="2"/>
    <n v="8"/>
    <n v="2"/>
    <n v="7"/>
    <n v="7"/>
    <x v="0"/>
    <x v="1"/>
    <x v="0"/>
  </r>
  <r>
    <n v="27"/>
    <s v="No"/>
    <s v="Travel_Rarely"/>
    <n v="1220"/>
    <x v="1"/>
    <n v="5"/>
    <n v="3"/>
    <s v="Life Sciences"/>
    <n v="1"/>
    <n v="434"/>
    <n v="3"/>
    <x v="0"/>
    <n v="85"/>
    <n v="3"/>
    <n v="1"/>
    <x v="1"/>
    <x v="1"/>
    <s v="Single"/>
    <n v="2478"/>
    <n v="20938"/>
    <n v="1"/>
    <s v="Y"/>
    <s v="Yes"/>
    <n v="12"/>
    <n v="3"/>
    <n v="2"/>
    <n v="80"/>
    <n v="0"/>
    <n v="4"/>
    <n v="2"/>
    <n v="2"/>
    <n v="4"/>
    <n v="3"/>
    <n v="1"/>
    <n v="2"/>
    <x v="1"/>
    <x v="2"/>
    <x v="2"/>
  </r>
  <r>
    <n v="32"/>
    <s v="No"/>
    <s v="Travel_Rarely"/>
    <n v="588"/>
    <x v="0"/>
    <n v="8"/>
    <n v="2"/>
    <s v="Technical Degree"/>
    <n v="1"/>
    <n v="436"/>
    <n v="3"/>
    <x v="0"/>
    <n v="65"/>
    <n v="2"/>
    <n v="2"/>
    <x v="0"/>
    <x v="1"/>
    <s v="Married"/>
    <n v="5228"/>
    <n v="24624"/>
    <n v="1"/>
    <s v="Y"/>
    <s v="Yes"/>
    <n v="11"/>
    <n v="3"/>
    <n v="4"/>
    <n v="80"/>
    <n v="0"/>
    <n v="13"/>
    <n v="2"/>
    <n v="3"/>
    <n v="13"/>
    <n v="12"/>
    <n v="11"/>
    <n v="9"/>
    <x v="1"/>
    <x v="2"/>
    <x v="3"/>
  </r>
  <r>
    <n v="27"/>
    <s v="No"/>
    <s v="Travel_Rarely"/>
    <n v="1377"/>
    <x v="0"/>
    <n v="2"/>
    <n v="3"/>
    <s v="Life Sciences"/>
    <n v="1"/>
    <n v="437"/>
    <n v="4"/>
    <x v="1"/>
    <n v="74"/>
    <n v="3"/>
    <n v="2"/>
    <x v="0"/>
    <x v="2"/>
    <s v="Single"/>
    <n v="4478"/>
    <n v="5242"/>
    <n v="1"/>
    <s v="Y"/>
    <s v="Yes"/>
    <n v="11"/>
    <n v="3"/>
    <n v="1"/>
    <n v="80"/>
    <n v="0"/>
    <n v="5"/>
    <n v="3"/>
    <n v="3"/>
    <n v="5"/>
    <n v="4"/>
    <n v="0"/>
    <n v="4"/>
    <x v="1"/>
    <x v="2"/>
    <x v="2"/>
  </r>
  <r>
    <n v="31"/>
    <s v="No"/>
    <s v="Travel_Rarely"/>
    <n v="691"/>
    <x v="0"/>
    <n v="7"/>
    <n v="3"/>
    <s v="Marketing"/>
    <n v="1"/>
    <n v="438"/>
    <n v="4"/>
    <x v="1"/>
    <n v="73"/>
    <n v="3"/>
    <n v="2"/>
    <x v="0"/>
    <x v="0"/>
    <s v="Divorced"/>
    <n v="7547"/>
    <n v="7143"/>
    <n v="4"/>
    <s v="Y"/>
    <s v="No"/>
    <n v="12"/>
    <n v="3"/>
    <n v="4"/>
    <n v="80"/>
    <n v="3"/>
    <n v="13"/>
    <n v="3"/>
    <n v="3"/>
    <n v="7"/>
    <n v="7"/>
    <n v="1"/>
    <n v="7"/>
    <x v="1"/>
    <x v="2"/>
    <x v="0"/>
  </r>
  <r>
    <n v="32"/>
    <s v="No"/>
    <s v="Travel_Rarely"/>
    <n v="1018"/>
    <x v="1"/>
    <n v="2"/>
    <n v="4"/>
    <s v="Medical"/>
    <n v="1"/>
    <n v="439"/>
    <n v="1"/>
    <x v="0"/>
    <n v="74"/>
    <n v="4"/>
    <n v="2"/>
    <x v="1"/>
    <x v="0"/>
    <s v="Single"/>
    <n v="5055"/>
    <n v="10557"/>
    <n v="7"/>
    <s v="Y"/>
    <s v="No"/>
    <n v="16"/>
    <n v="3"/>
    <n v="3"/>
    <n v="80"/>
    <n v="0"/>
    <n v="10"/>
    <n v="0"/>
    <n v="2"/>
    <n v="7"/>
    <n v="7"/>
    <n v="0"/>
    <n v="7"/>
    <x v="1"/>
    <x v="2"/>
    <x v="0"/>
  </r>
  <r>
    <n v="28"/>
    <s v="Yes"/>
    <s v="Travel_Rarely"/>
    <n v="1157"/>
    <x v="1"/>
    <n v="2"/>
    <n v="4"/>
    <s v="Medical"/>
    <n v="1"/>
    <n v="440"/>
    <n v="1"/>
    <x v="1"/>
    <n v="84"/>
    <n v="1"/>
    <n v="1"/>
    <x v="1"/>
    <x v="0"/>
    <s v="Married"/>
    <n v="3464"/>
    <n v="24737"/>
    <n v="5"/>
    <s v="Y"/>
    <s v="Yes"/>
    <n v="13"/>
    <n v="3"/>
    <n v="4"/>
    <n v="80"/>
    <n v="0"/>
    <n v="5"/>
    <n v="4"/>
    <n v="2"/>
    <n v="3"/>
    <n v="2"/>
    <n v="2"/>
    <n v="2"/>
    <x v="0"/>
    <x v="2"/>
    <x v="2"/>
  </r>
  <r>
    <n v="30"/>
    <s v="No"/>
    <s v="Travel_Rarely"/>
    <n v="1275"/>
    <x v="1"/>
    <n v="28"/>
    <n v="2"/>
    <s v="Medical"/>
    <n v="1"/>
    <n v="441"/>
    <n v="4"/>
    <x v="0"/>
    <n v="64"/>
    <n v="3"/>
    <n v="2"/>
    <x v="1"/>
    <x v="0"/>
    <s v="Married"/>
    <n v="5775"/>
    <n v="11934"/>
    <n v="1"/>
    <s v="Y"/>
    <s v="No"/>
    <n v="13"/>
    <n v="3"/>
    <n v="4"/>
    <n v="80"/>
    <n v="2"/>
    <n v="11"/>
    <n v="2"/>
    <n v="3"/>
    <n v="10"/>
    <n v="8"/>
    <n v="1"/>
    <n v="9"/>
    <x v="1"/>
    <x v="2"/>
    <x v="0"/>
  </r>
  <r>
    <n v="31"/>
    <s v="No"/>
    <s v="Travel_Frequently"/>
    <n v="798"/>
    <x v="1"/>
    <n v="7"/>
    <n v="2"/>
    <s v="Life Sciences"/>
    <n v="1"/>
    <n v="442"/>
    <n v="3"/>
    <x v="0"/>
    <n v="48"/>
    <n v="2"/>
    <n v="3"/>
    <x v="3"/>
    <x v="2"/>
    <s v="Married"/>
    <n v="8943"/>
    <n v="14034"/>
    <n v="1"/>
    <s v="Y"/>
    <s v="No"/>
    <n v="24"/>
    <n v="4"/>
    <n v="1"/>
    <n v="80"/>
    <n v="1"/>
    <n v="10"/>
    <n v="2"/>
    <n v="3"/>
    <n v="10"/>
    <n v="9"/>
    <n v="8"/>
    <n v="9"/>
    <x v="1"/>
    <x v="2"/>
    <x v="0"/>
  </r>
  <r>
    <n v="39"/>
    <s v="No"/>
    <s v="Travel_Frequently"/>
    <n v="672"/>
    <x v="1"/>
    <n v="7"/>
    <n v="2"/>
    <s v="Medical"/>
    <n v="1"/>
    <n v="444"/>
    <n v="3"/>
    <x v="1"/>
    <n v="54"/>
    <n v="2"/>
    <n v="5"/>
    <x v="5"/>
    <x v="0"/>
    <s v="Married"/>
    <n v="19272"/>
    <n v="21141"/>
    <n v="1"/>
    <s v="Y"/>
    <s v="No"/>
    <n v="15"/>
    <n v="3"/>
    <n v="1"/>
    <n v="80"/>
    <n v="1"/>
    <n v="21"/>
    <n v="2"/>
    <n v="3"/>
    <n v="21"/>
    <n v="9"/>
    <n v="13"/>
    <n v="3"/>
    <x v="1"/>
    <x v="0"/>
    <x v="3"/>
  </r>
  <r>
    <n v="39"/>
    <s v="Yes"/>
    <s v="Travel_Rarely"/>
    <n v="1162"/>
    <x v="0"/>
    <n v="3"/>
    <n v="2"/>
    <s v="Medical"/>
    <n v="1"/>
    <n v="445"/>
    <n v="4"/>
    <x v="0"/>
    <n v="41"/>
    <n v="3"/>
    <n v="2"/>
    <x v="0"/>
    <x v="2"/>
    <s v="Married"/>
    <n v="5238"/>
    <n v="17778"/>
    <n v="4"/>
    <s v="Y"/>
    <s v="Yes"/>
    <n v="18"/>
    <n v="3"/>
    <n v="1"/>
    <n v="80"/>
    <n v="0"/>
    <n v="12"/>
    <n v="3"/>
    <n v="2"/>
    <n v="1"/>
    <n v="0"/>
    <n v="0"/>
    <n v="0"/>
    <x v="0"/>
    <x v="0"/>
    <x v="1"/>
  </r>
  <r>
    <n v="33"/>
    <s v="No"/>
    <s v="Travel_Frequently"/>
    <n v="508"/>
    <x v="0"/>
    <n v="10"/>
    <n v="3"/>
    <s v="Marketing"/>
    <n v="1"/>
    <n v="446"/>
    <n v="2"/>
    <x v="1"/>
    <n v="46"/>
    <n v="2"/>
    <n v="2"/>
    <x v="0"/>
    <x v="0"/>
    <s v="Single"/>
    <n v="4682"/>
    <n v="4317"/>
    <n v="3"/>
    <s v="Y"/>
    <s v="No"/>
    <n v="14"/>
    <n v="3"/>
    <n v="3"/>
    <n v="80"/>
    <n v="0"/>
    <n v="9"/>
    <n v="6"/>
    <n v="2"/>
    <n v="7"/>
    <n v="7"/>
    <n v="0"/>
    <n v="1"/>
    <x v="1"/>
    <x v="2"/>
    <x v="0"/>
  </r>
  <r>
    <n v="47"/>
    <s v="No"/>
    <s v="Travel_Rarely"/>
    <n v="1482"/>
    <x v="1"/>
    <n v="5"/>
    <n v="5"/>
    <s v="Life Sciences"/>
    <n v="1"/>
    <n v="447"/>
    <n v="4"/>
    <x v="1"/>
    <n v="42"/>
    <n v="3"/>
    <n v="5"/>
    <x v="7"/>
    <x v="2"/>
    <s v="Married"/>
    <n v="18300"/>
    <n v="16375"/>
    <n v="4"/>
    <s v="Y"/>
    <s v="No"/>
    <n v="11"/>
    <n v="3"/>
    <n v="2"/>
    <n v="80"/>
    <n v="1"/>
    <n v="21"/>
    <n v="2"/>
    <n v="3"/>
    <n v="3"/>
    <n v="2"/>
    <n v="1"/>
    <n v="1"/>
    <x v="1"/>
    <x v="1"/>
    <x v="2"/>
  </r>
  <r>
    <n v="43"/>
    <s v="No"/>
    <s v="Travel_Frequently"/>
    <n v="559"/>
    <x v="1"/>
    <n v="10"/>
    <n v="4"/>
    <s v="Life Sciences"/>
    <n v="1"/>
    <n v="448"/>
    <n v="3"/>
    <x v="0"/>
    <n v="82"/>
    <n v="2"/>
    <n v="2"/>
    <x v="2"/>
    <x v="2"/>
    <s v="Divorced"/>
    <n v="5257"/>
    <n v="6227"/>
    <n v="1"/>
    <s v="Y"/>
    <s v="No"/>
    <n v="11"/>
    <n v="3"/>
    <n v="2"/>
    <n v="80"/>
    <n v="1"/>
    <n v="9"/>
    <n v="3"/>
    <n v="4"/>
    <n v="9"/>
    <n v="7"/>
    <n v="0"/>
    <n v="0"/>
    <x v="1"/>
    <x v="0"/>
    <x v="0"/>
  </r>
  <r>
    <n v="27"/>
    <s v="No"/>
    <s v="Non-Travel"/>
    <n v="210"/>
    <x v="0"/>
    <n v="1"/>
    <n v="1"/>
    <s v="Marketing"/>
    <n v="1"/>
    <n v="449"/>
    <n v="3"/>
    <x v="1"/>
    <n v="73"/>
    <n v="3"/>
    <n v="2"/>
    <x v="0"/>
    <x v="1"/>
    <s v="Married"/>
    <n v="6349"/>
    <n v="22107"/>
    <n v="0"/>
    <s v="Y"/>
    <s v="Yes"/>
    <n v="13"/>
    <n v="3"/>
    <n v="4"/>
    <n v="80"/>
    <n v="1"/>
    <n v="6"/>
    <n v="0"/>
    <n v="3"/>
    <n v="5"/>
    <n v="4"/>
    <n v="1"/>
    <n v="4"/>
    <x v="1"/>
    <x v="2"/>
    <x v="2"/>
  </r>
  <r>
    <n v="54"/>
    <s v="No"/>
    <s v="Travel_Frequently"/>
    <n v="928"/>
    <x v="1"/>
    <n v="20"/>
    <n v="4"/>
    <s v="Life Sciences"/>
    <n v="1"/>
    <n v="450"/>
    <n v="4"/>
    <x v="0"/>
    <n v="31"/>
    <n v="3"/>
    <n v="2"/>
    <x v="1"/>
    <x v="2"/>
    <s v="Single"/>
    <n v="4869"/>
    <n v="16885"/>
    <n v="3"/>
    <s v="Y"/>
    <s v="No"/>
    <n v="12"/>
    <n v="3"/>
    <n v="4"/>
    <n v="80"/>
    <n v="0"/>
    <n v="20"/>
    <n v="4"/>
    <n v="2"/>
    <n v="4"/>
    <n v="3"/>
    <n v="0"/>
    <n v="3"/>
    <x v="1"/>
    <x v="1"/>
    <x v="2"/>
  </r>
  <r>
    <n v="43"/>
    <s v="No"/>
    <s v="Travel_Rarely"/>
    <n v="1001"/>
    <x v="1"/>
    <n v="7"/>
    <n v="3"/>
    <s v="Life Sciences"/>
    <n v="1"/>
    <n v="451"/>
    <n v="3"/>
    <x v="0"/>
    <n v="43"/>
    <n v="3"/>
    <n v="3"/>
    <x v="4"/>
    <x v="3"/>
    <s v="Married"/>
    <n v="9985"/>
    <n v="9262"/>
    <n v="8"/>
    <s v="Y"/>
    <s v="No"/>
    <n v="16"/>
    <n v="3"/>
    <n v="1"/>
    <n v="80"/>
    <n v="1"/>
    <n v="10"/>
    <n v="1"/>
    <n v="2"/>
    <n v="1"/>
    <n v="0"/>
    <n v="0"/>
    <n v="0"/>
    <x v="1"/>
    <x v="0"/>
    <x v="1"/>
  </r>
  <r>
    <n v="45"/>
    <s v="No"/>
    <s v="Travel_Rarely"/>
    <n v="549"/>
    <x v="1"/>
    <n v="8"/>
    <n v="4"/>
    <s v="Other"/>
    <n v="1"/>
    <n v="452"/>
    <n v="4"/>
    <x v="1"/>
    <n v="75"/>
    <n v="3"/>
    <n v="2"/>
    <x v="1"/>
    <x v="0"/>
    <s v="Married"/>
    <n v="3697"/>
    <n v="9278"/>
    <n v="9"/>
    <s v="Y"/>
    <s v="No"/>
    <n v="14"/>
    <n v="3"/>
    <n v="1"/>
    <n v="80"/>
    <n v="2"/>
    <n v="12"/>
    <n v="3"/>
    <n v="3"/>
    <n v="10"/>
    <n v="9"/>
    <n v="9"/>
    <n v="8"/>
    <x v="1"/>
    <x v="0"/>
    <x v="0"/>
  </r>
  <r>
    <n v="40"/>
    <s v="No"/>
    <s v="Travel_Rarely"/>
    <n v="1124"/>
    <x v="0"/>
    <n v="1"/>
    <n v="2"/>
    <s v="Medical"/>
    <n v="1"/>
    <n v="453"/>
    <n v="2"/>
    <x v="1"/>
    <n v="57"/>
    <n v="1"/>
    <n v="2"/>
    <x v="0"/>
    <x v="0"/>
    <s v="Married"/>
    <n v="7457"/>
    <n v="13273"/>
    <n v="2"/>
    <s v="Y"/>
    <s v="Yes"/>
    <n v="22"/>
    <n v="4"/>
    <n v="3"/>
    <n v="80"/>
    <n v="3"/>
    <n v="6"/>
    <n v="2"/>
    <n v="2"/>
    <n v="4"/>
    <n v="3"/>
    <n v="0"/>
    <n v="2"/>
    <x v="1"/>
    <x v="0"/>
    <x v="2"/>
  </r>
  <r>
    <n v="29"/>
    <s v="Yes"/>
    <s v="Travel_Rarely"/>
    <n v="318"/>
    <x v="1"/>
    <n v="8"/>
    <n v="4"/>
    <s v="Other"/>
    <n v="1"/>
    <n v="454"/>
    <n v="2"/>
    <x v="1"/>
    <n v="77"/>
    <n v="1"/>
    <n v="1"/>
    <x v="2"/>
    <x v="3"/>
    <s v="Married"/>
    <n v="2119"/>
    <n v="4759"/>
    <n v="1"/>
    <s v="Y"/>
    <s v="Yes"/>
    <n v="11"/>
    <n v="3"/>
    <n v="4"/>
    <n v="80"/>
    <n v="0"/>
    <n v="7"/>
    <n v="4"/>
    <n v="2"/>
    <n v="7"/>
    <n v="7"/>
    <n v="0"/>
    <n v="7"/>
    <x v="0"/>
    <x v="2"/>
    <x v="0"/>
  </r>
  <r>
    <n v="29"/>
    <s v="No"/>
    <s v="Travel_Rarely"/>
    <n v="738"/>
    <x v="1"/>
    <n v="9"/>
    <n v="5"/>
    <s v="Other"/>
    <n v="1"/>
    <n v="455"/>
    <n v="2"/>
    <x v="1"/>
    <n v="30"/>
    <n v="2"/>
    <n v="1"/>
    <x v="2"/>
    <x v="0"/>
    <s v="Single"/>
    <n v="3983"/>
    <n v="7621"/>
    <n v="0"/>
    <s v="Y"/>
    <s v="No"/>
    <n v="17"/>
    <n v="3"/>
    <n v="3"/>
    <n v="80"/>
    <n v="0"/>
    <n v="4"/>
    <n v="2"/>
    <n v="3"/>
    <n v="3"/>
    <n v="2"/>
    <n v="2"/>
    <n v="2"/>
    <x v="1"/>
    <x v="2"/>
    <x v="2"/>
  </r>
  <r>
    <n v="30"/>
    <s v="No"/>
    <s v="Travel_Rarely"/>
    <n v="570"/>
    <x v="0"/>
    <n v="5"/>
    <n v="3"/>
    <s v="Marketing"/>
    <n v="1"/>
    <n v="456"/>
    <n v="4"/>
    <x v="0"/>
    <n v="30"/>
    <n v="2"/>
    <n v="2"/>
    <x v="0"/>
    <x v="2"/>
    <s v="Divorced"/>
    <n v="6118"/>
    <n v="5431"/>
    <n v="1"/>
    <s v="Y"/>
    <s v="No"/>
    <n v="13"/>
    <n v="3"/>
    <n v="3"/>
    <n v="80"/>
    <n v="3"/>
    <n v="10"/>
    <n v="2"/>
    <n v="3"/>
    <n v="10"/>
    <n v="9"/>
    <n v="1"/>
    <n v="2"/>
    <x v="1"/>
    <x v="2"/>
    <x v="0"/>
  </r>
  <r>
    <n v="27"/>
    <s v="No"/>
    <s v="Travel_Rarely"/>
    <n v="1130"/>
    <x v="0"/>
    <n v="8"/>
    <n v="4"/>
    <s v="Marketing"/>
    <n v="1"/>
    <n v="458"/>
    <n v="2"/>
    <x v="0"/>
    <n v="56"/>
    <n v="3"/>
    <n v="2"/>
    <x v="0"/>
    <x v="1"/>
    <s v="Married"/>
    <n v="6214"/>
    <n v="3415"/>
    <n v="1"/>
    <s v="Y"/>
    <s v="No"/>
    <n v="18"/>
    <n v="3"/>
    <n v="1"/>
    <n v="80"/>
    <n v="1"/>
    <n v="8"/>
    <n v="3"/>
    <n v="3"/>
    <n v="8"/>
    <n v="7"/>
    <n v="0"/>
    <n v="7"/>
    <x v="1"/>
    <x v="2"/>
    <x v="0"/>
  </r>
  <r>
    <n v="37"/>
    <s v="No"/>
    <s v="Travel_Rarely"/>
    <n v="1192"/>
    <x v="1"/>
    <n v="5"/>
    <n v="2"/>
    <s v="Medical"/>
    <n v="1"/>
    <n v="460"/>
    <n v="4"/>
    <x v="1"/>
    <n v="61"/>
    <n v="3"/>
    <n v="2"/>
    <x v="3"/>
    <x v="0"/>
    <s v="Divorced"/>
    <n v="6347"/>
    <n v="23177"/>
    <n v="7"/>
    <s v="Y"/>
    <s v="No"/>
    <n v="16"/>
    <n v="3"/>
    <n v="3"/>
    <n v="80"/>
    <n v="2"/>
    <n v="8"/>
    <n v="2"/>
    <n v="2"/>
    <n v="6"/>
    <n v="2"/>
    <n v="0"/>
    <n v="4"/>
    <x v="1"/>
    <x v="0"/>
    <x v="0"/>
  </r>
  <r>
    <n v="38"/>
    <s v="No"/>
    <s v="Travel_Rarely"/>
    <n v="343"/>
    <x v="1"/>
    <n v="15"/>
    <n v="2"/>
    <s v="Life Sciences"/>
    <n v="1"/>
    <n v="461"/>
    <n v="3"/>
    <x v="1"/>
    <n v="92"/>
    <n v="2"/>
    <n v="3"/>
    <x v="7"/>
    <x v="0"/>
    <s v="Divorced"/>
    <n v="11510"/>
    <n v="15682"/>
    <n v="0"/>
    <s v="Y"/>
    <s v="Yes"/>
    <n v="14"/>
    <n v="3"/>
    <n v="2"/>
    <n v="80"/>
    <n v="1"/>
    <n v="12"/>
    <n v="3"/>
    <n v="3"/>
    <n v="11"/>
    <n v="10"/>
    <n v="2"/>
    <n v="9"/>
    <x v="1"/>
    <x v="0"/>
    <x v="3"/>
  </r>
  <r>
    <n v="31"/>
    <s v="No"/>
    <s v="Travel_Rarely"/>
    <n v="1232"/>
    <x v="1"/>
    <n v="7"/>
    <n v="4"/>
    <s v="Medical"/>
    <n v="1"/>
    <n v="462"/>
    <n v="3"/>
    <x v="0"/>
    <n v="39"/>
    <n v="3"/>
    <n v="3"/>
    <x v="3"/>
    <x v="0"/>
    <s v="Single"/>
    <n v="7143"/>
    <n v="25713"/>
    <n v="1"/>
    <s v="Y"/>
    <s v="Yes"/>
    <n v="14"/>
    <n v="3"/>
    <n v="3"/>
    <n v="80"/>
    <n v="0"/>
    <n v="11"/>
    <n v="2"/>
    <n v="2"/>
    <n v="11"/>
    <n v="9"/>
    <n v="4"/>
    <n v="10"/>
    <x v="1"/>
    <x v="2"/>
    <x v="3"/>
  </r>
  <r>
    <n v="29"/>
    <s v="No"/>
    <s v="Travel_Rarely"/>
    <n v="144"/>
    <x v="0"/>
    <n v="10"/>
    <n v="1"/>
    <s v="Marketing"/>
    <n v="1"/>
    <n v="463"/>
    <n v="4"/>
    <x v="0"/>
    <n v="39"/>
    <n v="2"/>
    <n v="2"/>
    <x v="0"/>
    <x v="1"/>
    <s v="Divorced"/>
    <n v="8268"/>
    <n v="11866"/>
    <n v="1"/>
    <s v="Y"/>
    <s v="Yes"/>
    <n v="14"/>
    <n v="3"/>
    <n v="1"/>
    <n v="80"/>
    <n v="2"/>
    <n v="7"/>
    <n v="2"/>
    <n v="3"/>
    <n v="7"/>
    <n v="7"/>
    <n v="1"/>
    <n v="7"/>
    <x v="1"/>
    <x v="2"/>
    <x v="0"/>
  </r>
  <r>
    <n v="35"/>
    <s v="No"/>
    <s v="Travel_Rarely"/>
    <n v="1296"/>
    <x v="1"/>
    <n v="5"/>
    <n v="4"/>
    <s v="Technical Degree"/>
    <n v="1"/>
    <n v="464"/>
    <n v="3"/>
    <x v="1"/>
    <n v="62"/>
    <n v="3"/>
    <n v="3"/>
    <x v="3"/>
    <x v="1"/>
    <s v="Single"/>
    <n v="8095"/>
    <n v="18264"/>
    <n v="0"/>
    <s v="Y"/>
    <s v="No"/>
    <n v="13"/>
    <n v="3"/>
    <n v="4"/>
    <n v="80"/>
    <n v="0"/>
    <n v="17"/>
    <n v="5"/>
    <n v="3"/>
    <n v="16"/>
    <n v="6"/>
    <n v="0"/>
    <n v="13"/>
    <x v="1"/>
    <x v="2"/>
    <x v="3"/>
  </r>
  <r>
    <n v="23"/>
    <s v="No"/>
    <s v="Travel_Rarely"/>
    <n v="1309"/>
    <x v="1"/>
    <n v="26"/>
    <n v="1"/>
    <s v="Life Sciences"/>
    <n v="1"/>
    <n v="465"/>
    <n v="3"/>
    <x v="1"/>
    <n v="83"/>
    <n v="3"/>
    <n v="1"/>
    <x v="1"/>
    <x v="0"/>
    <s v="Divorced"/>
    <n v="2904"/>
    <n v="16092"/>
    <n v="1"/>
    <s v="Y"/>
    <s v="No"/>
    <n v="12"/>
    <n v="3"/>
    <n v="3"/>
    <n v="80"/>
    <n v="2"/>
    <n v="4"/>
    <n v="2"/>
    <n v="2"/>
    <n v="4"/>
    <n v="2"/>
    <n v="0"/>
    <n v="2"/>
    <x v="1"/>
    <x v="3"/>
    <x v="2"/>
  </r>
  <r>
    <n v="41"/>
    <s v="No"/>
    <s v="Travel_Rarely"/>
    <n v="483"/>
    <x v="1"/>
    <n v="6"/>
    <n v="3"/>
    <s v="Medical"/>
    <n v="1"/>
    <n v="466"/>
    <n v="4"/>
    <x v="1"/>
    <n v="95"/>
    <n v="2"/>
    <n v="2"/>
    <x v="3"/>
    <x v="1"/>
    <s v="Single"/>
    <n v="6032"/>
    <n v="10110"/>
    <n v="6"/>
    <s v="Y"/>
    <s v="Yes"/>
    <n v="15"/>
    <n v="3"/>
    <n v="4"/>
    <n v="80"/>
    <n v="0"/>
    <n v="8"/>
    <n v="3"/>
    <n v="3"/>
    <n v="5"/>
    <n v="4"/>
    <n v="1"/>
    <n v="2"/>
    <x v="1"/>
    <x v="0"/>
    <x v="2"/>
  </r>
  <r>
    <n v="47"/>
    <s v="No"/>
    <s v="Travel_Frequently"/>
    <n v="1309"/>
    <x v="0"/>
    <n v="4"/>
    <n v="1"/>
    <s v="Medical"/>
    <n v="1"/>
    <n v="467"/>
    <n v="2"/>
    <x v="1"/>
    <n v="99"/>
    <n v="3"/>
    <n v="2"/>
    <x v="6"/>
    <x v="2"/>
    <s v="Single"/>
    <n v="2976"/>
    <n v="25751"/>
    <n v="3"/>
    <s v="Y"/>
    <s v="No"/>
    <n v="19"/>
    <n v="3"/>
    <n v="1"/>
    <n v="80"/>
    <n v="0"/>
    <n v="5"/>
    <n v="3"/>
    <n v="3"/>
    <n v="0"/>
    <n v="0"/>
    <n v="0"/>
    <n v="0"/>
    <x v="1"/>
    <x v="1"/>
    <x v="1"/>
  </r>
  <r>
    <n v="42"/>
    <s v="No"/>
    <s v="Travel_Rarely"/>
    <n v="810"/>
    <x v="1"/>
    <n v="23"/>
    <n v="5"/>
    <s v="Life Sciences"/>
    <n v="1"/>
    <n v="468"/>
    <n v="1"/>
    <x v="0"/>
    <n v="44"/>
    <n v="3"/>
    <n v="4"/>
    <x v="7"/>
    <x v="0"/>
    <s v="Single"/>
    <n v="15992"/>
    <n v="15901"/>
    <n v="2"/>
    <s v="Y"/>
    <s v="No"/>
    <n v="14"/>
    <n v="3"/>
    <n v="2"/>
    <n v="80"/>
    <n v="0"/>
    <n v="16"/>
    <n v="2"/>
    <n v="3"/>
    <n v="1"/>
    <n v="0"/>
    <n v="0"/>
    <n v="0"/>
    <x v="1"/>
    <x v="0"/>
    <x v="1"/>
  </r>
  <r>
    <n v="29"/>
    <s v="No"/>
    <s v="Non-Travel"/>
    <n v="746"/>
    <x v="0"/>
    <n v="2"/>
    <n v="3"/>
    <s v="Life Sciences"/>
    <n v="1"/>
    <n v="469"/>
    <n v="4"/>
    <x v="1"/>
    <n v="61"/>
    <n v="3"/>
    <n v="2"/>
    <x v="0"/>
    <x v="2"/>
    <s v="Married"/>
    <n v="4649"/>
    <n v="16928"/>
    <n v="1"/>
    <s v="Y"/>
    <s v="No"/>
    <n v="14"/>
    <n v="3"/>
    <n v="1"/>
    <n v="80"/>
    <n v="1"/>
    <n v="4"/>
    <n v="3"/>
    <n v="2"/>
    <n v="4"/>
    <n v="3"/>
    <n v="0"/>
    <n v="2"/>
    <x v="1"/>
    <x v="2"/>
    <x v="2"/>
  </r>
  <r>
    <n v="42"/>
    <s v="No"/>
    <s v="Travel_Rarely"/>
    <n v="544"/>
    <x v="2"/>
    <n v="2"/>
    <n v="1"/>
    <s v="Technical Degree"/>
    <n v="1"/>
    <n v="470"/>
    <n v="3"/>
    <x v="1"/>
    <n v="52"/>
    <n v="3"/>
    <n v="1"/>
    <x v="8"/>
    <x v="2"/>
    <s v="Divorced"/>
    <n v="2696"/>
    <n v="24017"/>
    <n v="0"/>
    <s v="Y"/>
    <s v="Yes"/>
    <n v="11"/>
    <n v="3"/>
    <n v="3"/>
    <n v="80"/>
    <n v="1"/>
    <n v="4"/>
    <n v="5"/>
    <n v="3"/>
    <n v="3"/>
    <n v="2"/>
    <n v="1"/>
    <n v="0"/>
    <x v="1"/>
    <x v="0"/>
    <x v="2"/>
  </r>
  <r>
    <n v="32"/>
    <s v="No"/>
    <s v="Travel_Rarely"/>
    <n v="1062"/>
    <x v="1"/>
    <n v="2"/>
    <n v="3"/>
    <s v="Medical"/>
    <n v="1"/>
    <n v="471"/>
    <n v="3"/>
    <x v="0"/>
    <n v="75"/>
    <n v="3"/>
    <n v="1"/>
    <x v="2"/>
    <x v="1"/>
    <s v="Married"/>
    <n v="2370"/>
    <n v="3956"/>
    <n v="1"/>
    <s v="Y"/>
    <s v="No"/>
    <n v="13"/>
    <n v="3"/>
    <n v="3"/>
    <n v="80"/>
    <n v="1"/>
    <n v="8"/>
    <n v="4"/>
    <n v="3"/>
    <n v="8"/>
    <n v="0"/>
    <n v="0"/>
    <n v="7"/>
    <x v="1"/>
    <x v="2"/>
    <x v="0"/>
  </r>
  <r>
    <n v="48"/>
    <s v="No"/>
    <s v="Travel_Rarely"/>
    <n v="530"/>
    <x v="0"/>
    <n v="29"/>
    <n v="1"/>
    <s v="Medical"/>
    <n v="1"/>
    <n v="473"/>
    <n v="1"/>
    <x v="0"/>
    <n v="91"/>
    <n v="3"/>
    <n v="3"/>
    <x v="5"/>
    <x v="2"/>
    <s v="Married"/>
    <n v="12504"/>
    <n v="23978"/>
    <n v="3"/>
    <s v="Y"/>
    <s v="No"/>
    <n v="21"/>
    <n v="4"/>
    <n v="2"/>
    <n v="80"/>
    <n v="1"/>
    <n v="15"/>
    <n v="3"/>
    <n v="1"/>
    <n v="0"/>
    <n v="0"/>
    <n v="0"/>
    <n v="0"/>
    <x v="1"/>
    <x v="1"/>
    <x v="1"/>
  </r>
  <r>
    <n v="37"/>
    <s v="No"/>
    <s v="Travel_Rarely"/>
    <n v="1319"/>
    <x v="1"/>
    <n v="6"/>
    <n v="3"/>
    <s v="Medical"/>
    <n v="1"/>
    <n v="474"/>
    <n v="3"/>
    <x v="1"/>
    <n v="51"/>
    <n v="4"/>
    <n v="2"/>
    <x v="1"/>
    <x v="3"/>
    <s v="Divorced"/>
    <n v="5974"/>
    <n v="17001"/>
    <n v="4"/>
    <s v="Y"/>
    <s v="Yes"/>
    <n v="13"/>
    <n v="3"/>
    <n v="1"/>
    <n v="80"/>
    <n v="2"/>
    <n v="13"/>
    <n v="2"/>
    <n v="3"/>
    <n v="7"/>
    <n v="7"/>
    <n v="6"/>
    <n v="7"/>
    <x v="1"/>
    <x v="0"/>
    <x v="0"/>
  </r>
  <r>
    <n v="30"/>
    <s v="No"/>
    <s v="Non-Travel"/>
    <n v="641"/>
    <x v="0"/>
    <n v="25"/>
    <n v="2"/>
    <s v="Technical Degree"/>
    <n v="1"/>
    <n v="475"/>
    <n v="4"/>
    <x v="0"/>
    <n v="85"/>
    <n v="3"/>
    <n v="2"/>
    <x v="0"/>
    <x v="2"/>
    <s v="Married"/>
    <n v="4736"/>
    <n v="6069"/>
    <n v="7"/>
    <s v="Y"/>
    <s v="Yes"/>
    <n v="12"/>
    <n v="3"/>
    <n v="2"/>
    <n v="80"/>
    <n v="1"/>
    <n v="4"/>
    <n v="2"/>
    <n v="4"/>
    <n v="2"/>
    <n v="2"/>
    <n v="2"/>
    <n v="2"/>
    <x v="1"/>
    <x v="2"/>
    <x v="1"/>
  </r>
  <r>
    <n v="26"/>
    <s v="No"/>
    <s v="Travel_Rarely"/>
    <n v="933"/>
    <x v="0"/>
    <n v="1"/>
    <n v="3"/>
    <s v="Life Sciences"/>
    <n v="1"/>
    <n v="476"/>
    <n v="3"/>
    <x v="1"/>
    <n v="57"/>
    <n v="3"/>
    <n v="2"/>
    <x v="0"/>
    <x v="2"/>
    <s v="Married"/>
    <n v="5296"/>
    <n v="20156"/>
    <n v="1"/>
    <s v="Y"/>
    <s v="No"/>
    <n v="17"/>
    <n v="3"/>
    <n v="2"/>
    <n v="80"/>
    <n v="1"/>
    <n v="8"/>
    <n v="3"/>
    <n v="3"/>
    <n v="8"/>
    <n v="7"/>
    <n v="7"/>
    <n v="7"/>
    <x v="1"/>
    <x v="2"/>
    <x v="0"/>
  </r>
  <r>
    <n v="42"/>
    <s v="No"/>
    <s v="Travel_Rarely"/>
    <n v="1332"/>
    <x v="1"/>
    <n v="2"/>
    <n v="4"/>
    <s v="Other"/>
    <n v="1"/>
    <n v="477"/>
    <n v="1"/>
    <x v="1"/>
    <n v="98"/>
    <n v="2"/>
    <n v="2"/>
    <x v="4"/>
    <x v="0"/>
    <s v="Single"/>
    <n v="6781"/>
    <n v="17078"/>
    <n v="3"/>
    <s v="Y"/>
    <s v="No"/>
    <n v="23"/>
    <n v="4"/>
    <n v="2"/>
    <n v="80"/>
    <n v="0"/>
    <n v="14"/>
    <n v="6"/>
    <n v="3"/>
    <n v="1"/>
    <n v="0"/>
    <n v="0"/>
    <n v="0"/>
    <x v="1"/>
    <x v="0"/>
    <x v="1"/>
  </r>
  <r>
    <n v="21"/>
    <s v="Yes"/>
    <s v="Travel_Frequently"/>
    <n v="756"/>
    <x v="0"/>
    <n v="1"/>
    <n v="1"/>
    <s v="Technical Degree"/>
    <n v="1"/>
    <n v="478"/>
    <n v="1"/>
    <x v="0"/>
    <n v="99"/>
    <n v="2"/>
    <n v="1"/>
    <x v="6"/>
    <x v="1"/>
    <s v="Single"/>
    <n v="2174"/>
    <n v="9150"/>
    <n v="1"/>
    <s v="Y"/>
    <s v="Yes"/>
    <n v="11"/>
    <n v="3"/>
    <n v="3"/>
    <n v="80"/>
    <n v="0"/>
    <n v="3"/>
    <n v="3"/>
    <n v="3"/>
    <n v="3"/>
    <n v="2"/>
    <n v="1"/>
    <n v="2"/>
    <x v="0"/>
    <x v="3"/>
    <x v="2"/>
  </r>
  <r>
    <n v="36"/>
    <s v="No"/>
    <s v="Non-Travel"/>
    <n v="845"/>
    <x v="0"/>
    <n v="1"/>
    <n v="5"/>
    <s v="Medical"/>
    <n v="1"/>
    <n v="479"/>
    <n v="4"/>
    <x v="0"/>
    <n v="45"/>
    <n v="3"/>
    <n v="2"/>
    <x v="0"/>
    <x v="0"/>
    <s v="Single"/>
    <n v="6653"/>
    <n v="15276"/>
    <n v="4"/>
    <s v="Y"/>
    <s v="No"/>
    <n v="15"/>
    <n v="3"/>
    <n v="2"/>
    <n v="80"/>
    <n v="0"/>
    <n v="7"/>
    <n v="6"/>
    <n v="3"/>
    <n v="1"/>
    <n v="0"/>
    <n v="0"/>
    <n v="0"/>
    <x v="1"/>
    <x v="0"/>
    <x v="1"/>
  </r>
  <r>
    <n v="36"/>
    <s v="No"/>
    <s v="Travel_Frequently"/>
    <n v="541"/>
    <x v="0"/>
    <n v="3"/>
    <n v="4"/>
    <s v="Medical"/>
    <n v="1"/>
    <n v="481"/>
    <n v="1"/>
    <x v="1"/>
    <n v="48"/>
    <n v="2"/>
    <n v="3"/>
    <x v="0"/>
    <x v="0"/>
    <s v="Married"/>
    <n v="9699"/>
    <n v="7246"/>
    <n v="4"/>
    <s v="Y"/>
    <s v="No"/>
    <n v="11"/>
    <n v="3"/>
    <n v="1"/>
    <n v="80"/>
    <n v="1"/>
    <n v="16"/>
    <n v="2"/>
    <n v="3"/>
    <n v="13"/>
    <n v="9"/>
    <n v="1"/>
    <n v="12"/>
    <x v="1"/>
    <x v="0"/>
    <x v="3"/>
  </r>
  <r>
    <n v="57"/>
    <s v="No"/>
    <s v="Travel_Rarely"/>
    <n v="593"/>
    <x v="1"/>
    <n v="1"/>
    <n v="4"/>
    <s v="Medical"/>
    <n v="1"/>
    <n v="482"/>
    <n v="4"/>
    <x v="1"/>
    <n v="88"/>
    <n v="3"/>
    <n v="2"/>
    <x v="4"/>
    <x v="2"/>
    <s v="Married"/>
    <n v="6755"/>
    <n v="2967"/>
    <n v="2"/>
    <s v="Y"/>
    <s v="No"/>
    <n v="11"/>
    <n v="3"/>
    <n v="3"/>
    <n v="80"/>
    <n v="0"/>
    <n v="15"/>
    <n v="2"/>
    <n v="3"/>
    <n v="3"/>
    <n v="2"/>
    <n v="1"/>
    <n v="2"/>
    <x v="1"/>
    <x v="1"/>
    <x v="2"/>
  </r>
  <r>
    <n v="40"/>
    <s v="No"/>
    <s v="Travel_Rarely"/>
    <n v="1171"/>
    <x v="1"/>
    <n v="10"/>
    <n v="4"/>
    <s v="Life Sciences"/>
    <n v="1"/>
    <n v="483"/>
    <n v="4"/>
    <x v="0"/>
    <n v="46"/>
    <n v="4"/>
    <n v="1"/>
    <x v="2"/>
    <x v="2"/>
    <s v="Married"/>
    <n v="2213"/>
    <n v="22495"/>
    <n v="3"/>
    <s v="Y"/>
    <s v="Yes"/>
    <n v="13"/>
    <n v="3"/>
    <n v="3"/>
    <n v="80"/>
    <n v="1"/>
    <n v="10"/>
    <n v="3"/>
    <n v="3"/>
    <n v="7"/>
    <n v="7"/>
    <n v="1"/>
    <n v="7"/>
    <x v="1"/>
    <x v="0"/>
    <x v="0"/>
  </r>
  <r>
    <n v="21"/>
    <s v="No"/>
    <s v="Non-Travel"/>
    <n v="895"/>
    <x v="0"/>
    <n v="9"/>
    <n v="2"/>
    <s v="Medical"/>
    <n v="1"/>
    <n v="484"/>
    <n v="1"/>
    <x v="1"/>
    <n v="39"/>
    <n v="3"/>
    <n v="1"/>
    <x v="6"/>
    <x v="0"/>
    <s v="Single"/>
    <n v="2610"/>
    <n v="2851"/>
    <n v="1"/>
    <s v="Y"/>
    <s v="No"/>
    <n v="24"/>
    <n v="4"/>
    <n v="3"/>
    <n v="80"/>
    <n v="0"/>
    <n v="3"/>
    <n v="3"/>
    <n v="2"/>
    <n v="3"/>
    <n v="2"/>
    <n v="2"/>
    <n v="2"/>
    <x v="1"/>
    <x v="3"/>
    <x v="2"/>
  </r>
  <r>
    <n v="33"/>
    <s v="Yes"/>
    <s v="Travel_Rarely"/>
    <n v="350"/>
    <x v="0"/>
    <n v="5"/>
    <n v="3"/>
    <s v="Marketing"/>
    <n v="1"/>
    <n v="485"/>
    <n v="4"/>
    <x v="0"/>
    <n v="34"/>
    <n v="3"/>
    <n v="1"/>
    <x v="6"/>
    <x v="2"/>
    <s v="Single"/>
    <n v="2851"/>
    <n v="9150"/>
    <n v="1"/>
    <s v="Y"/>
    <s v="Yes"/>
    <n v="13"/>
    <n v="3"/>
    <n v="2"/>
    <n v="80"/>
    <n v="0"/>
    <n v="1"/>
    <n v="2"/>
    <n v="3"/>
    <n v="1"/>
    <n v="0"/>
    <n v="0"/>
    <n v="0"/>
    <x v="0"/>
    <x v="2"/>
    <x v="1"/>
  </r>
  <r>
    <n v="37"/>
    <s v="No"/>
    <s v="Travel_Rarely"/>
    <n v="921"/>
    <x v="1"/>
    <n v="10"/>
    <n v="3"/>
    <s v="Medical"/>
    <n v="1"/>
    <n v="486"/>
    <n v="3"/>
    <x v="0"/>
    <n v="98"/>
    <n v="3"/>
    <n v="1"/>
    <x v="2"/>
    <x v="3"/>
    <s v="Married"/>
    <n v="3452"/>
    <n v="17663"/>
    <n v="6"/>
    <s v="Y"/>
    <s v="No"/>
    <n v="20"/>
    <n v="4"/>
    <n v="2"/>
    <n v="80"/>
    <n v="1"/>
    <n v="17"/>
    <n v="3"/>
    <n v="3"/>
    <n v="5"/>
    <n v="4"/>
    <n v="0"/>
    <n v="3"/>
    <x v="1"/>
    <x v="0"/>
    <x v="2"/>
  </r>
  <r>
    <n v="46"/>
    <s v="No"/>
    <s v="Non-Travel"/>
    <n v="1144"/>
    <x v="1"/>
    <n v="7"/>
    <n v="4"/>
    <s v="Medical"/>
    <n v="1"/>
    <n v="487"/>
    <n v="3"/>
    <x v="0"/>
    <n v="30"/>
    <n v="3"/>
    <n v="2"/>
    <x v="3"/>
    <x v="2"/>
    <s v="Married"/>
    <n v="5258"/>
    <n v="16044"/>
    <n v="2"/>
    <s v="Y"/>
    <s v="No"/>
    <n v="14"/>
    <n v="3"/>
    <n v="3"/>
    <n v="80"/>
    <n v="0"/>
    <n v="7"/>
    <n v="2"/>
    <n v="4"/>
    <n v="1"/>
    <n v="0"/>
    <n v="0"/>
    <n v="0"/>
    <x v="1"/>
    <x v="1"/>
    <x v="1"/>
  </r>
  <r>
    <n v="41"/>
    <s v="Yes"/>
    <s v="Travel_Frequently"/>
    <n v="143"/>
    <x v="0"/>
    <n v="4"/>
    <n v="3"/>
    <s v="Marketing"/>
    <n v="1"/>
    <n v="488"/>
    <n v="1"/>
    <x v="1"/>
    <n v="56"/>
    <n v="3"/>
    <n v="2"/>
    <x v="0"/>
    <x v="1"/>
    <s v="Single"/>
    <n v="9355"/>
    <n v="9558"/>
    <n v="1"/>
    <s v="Y"/>
    <s v="No"/>
    <n v="18"/>
    <n v="3"/>
    <n v="3"/>
    <n v="80"/>
    <n v="0"/>
    <n v="8"/>
    <n v="5"/>
    <n v="3"/>
    <n v="8"/>
    <n v="7"/>
    <n v="7"/>
    <n v="7"/>
    <x v="0"/>
    <x v="0"/>
    <x v="0"/>
  </r>
  <r>
    <n v="50"/>
    <s v="No"/>
    <s v="Travel_Rarely"/>
    <n v="1046"/>
    <x v="1"/>
    <n v="10"/>
    <n v="3"/>
    <s v="Technical Degree"/>
    <n v="1"/>
    <n v="491"/>
    <n v="4"/>
    <x v="1"/>
    <n v="100"/>
    <n v="2"/>
    <n v="3"/>
    <x v="4"/>
    <x v="0"/>
    <s v="Single"/>
    <n v="10496"/>
    <n v="2755"/>
    <n v="6"/>
    <s v="Y"/>
    <s v="No"/>
    <n v="15"/>
    <n v="3"/>
    <n v="4"/>
    <n v="80"/>
    <n v="0"/>
    <n v="20"/>
    <n v="2"/>
    <n v="3"/>
    <n v="4"/>
    <n v="3"/>
    <n v="1"/>
    <n v="3"/>
    <x v="1"/>
    <x v="1"/>
    <x v="2"/>
  </r>
  <r>
    <n v="40"/>
    <s v="Yes"/>
    <s v="Travel_Rarely"/>
    <n v="575"/>
    <x v="0"/>
    <n v="22"/>
    <n v="2"/>
    <s v="Marketing"/>
    <n v="1"/>
    <n v="492"/>
    <n v="3"/>
    <x v="1"/>
    <n v="68"/>
    <n v="2"/>
    <n v="2"/>
    <x v="0"/>
    <x v="2"/>
    <s v="Married"/>
    <n v="6380"/>
    <n v="6110"/>
    <n v="2"/>
    <s v="Y"/>
    <s v="Yes"/>
    <n v="12"/>
    <n v="3"/>
    <n v="1"/>
    <n v="80"/>
    <n v="2"/>
    <n v="8"/>
    <n v="6"/>
    <n v="3"/>
    <n v="6"/>
    <n v="4"/>
    <n v="1"/>
    <n v="0"/>
    <x v="0"/>
    <x v="0"/>
    <x v="0"/>
  </r>
  <r>
    <n v="31"/>
    <s v="No"/>
    <s v="Travel_Rarely"/>
    <n v="408"/>
    <x v="1"/>
    <n v="9"/>
    <n v="4"/>
    <s v="Life Sciences"/>
    <n v="1"/>
    <n v="493"/>
    <n v="3"/>
    <x v="1"/>
    <n v="42"/>
    <n v="2"/>
    <n v="1"/>
    <x v="1"/>
    <x v="1"/>
    <s v="Single"/>
    <n v="2657"/>
    <n v="7551"/>
    <n v="0"/>
    <s v="Y"/>
    <s v="Yes"/>
    <n v="16"/>
    <n v="3"/>
    <n v="4"/>
    <n v="80"/>
    <n v="0"/>
    <n v="3"/>
    <n v="5"/>
    <n v="3"/>
    <n v="2"/>
    <n v="2"/>
    <n v="2"/>
    <n v="2"/>
    <x v="1"/>
    <x v="2"/>
    <x v="1"/>
  </r>
  <r>
    <n v="21"/>
    <s v="Yes"/>
    <s v="Travel_Rarely"/>
    <n v="156"/>
    <x v="0"/>
    <n v="12"/>
    <n v="3"/>
    <s v="Life Sciences"/>
    <n v="1"/>
    <n v="494"/>
    <n v="3"/>
    <x v="0"/>
    <n v="90"/>
    <n v="4"/>
    <n v="1"/>
    <x v="6"/>
    <x v="1"/>
    <s v="Single"/>
    <n v="2716"/>
    <n v="25422"/>
    <n v="1"/>
    <s v="Y"/>
    <s v="No"/>
    <n v="15"/>
    <n v="3"/>
    <n v="4"/>
    <n v="80"/>
    <n v="0"/>
    <n v="1"/>
    <n v="0"/>
    <n v="3"/>
    <n v="1"/>
    <n v="0"/>
    <n v="0"/>
    <n v="0"/>
    <x v="0"/>
    <x v="3"/>
    <x v="1"/>
  </r>
  <r>
    <n v="29"/>
    <s v="No"/>
    <s v="Travel_Rarely"/>
    <n v="1283"/>
    <x v="1"/>
    <n v="23"/>
    <n v="3"/>
    <s v="Life Sciences"/>
    <n v="1"/>
    <n v="495"/>
    <n v="4"/>
    <x v="1"/>
    <n v="54"/>
    <n v="3"/>
    <n v="1"/>
    <x v="1"/>
    <x v="0"/>
    <s v="Single"/>
    <n v="2201"/>
    <n v="18168"/>
    <n v="9"/>
    <s v="Y"/>
    <s v="No"/>
    <n v="16"/>
    <n v="3"/>
    <n v="4"/>
    <n v="80"/>
    <n v="0"/>
    <n v="6"/>
    <n v="4"/>
    <n v="3"/>
    <n v="3"/>
    <n v="2"/>
    <n v="1"/>
    <n v="2"/>
    <x v="1"/>
    <x v="2"/>
    <x v="2"/>
  </r>
  <r>
    <n v="35"/>
    <s v="No"/>
    <s v="Travel_Rarely"/>
    <n v="755"/>
    <x v="1"/>
    <n v="9"/>
    <n v="4"/>
    <s v="Life Sciences"/>
    <n v="1"/>
    <n v="496"/>
    <n v="3"/>
    <x v="1"/>
    <n v="97"/>
    <n v="2"/>
    <n v="2"/>
    <x v="4"/>
    <x v="1"/>
    <s v="Single"/>
    <n v="6540"/>
    <n v="19394"/>
    <n v="9"/>
    <s v="Y"/>
    <s v="No"/>
    <n v="19"/>
    <n v="3"/>
    <n v="3"/>
    <n v="80"/>
    <n v="0"/>
    <n v="10"/>
    <n v="5"/>
    <n v="3"/>
    <n v="1"/>
    <n v="1"/>
    <n v="0"/>
    <n v="0"/>
    <x v="1"/>
    <x v="2"/>
    <x v="1"/>
  </r>
  <r>
    <n v="27"/>
    <s v="No"/>
    <s v="Travel_Rarely"/>
    <n v="1469"/>
    <x v="1"/>
    <n v="1"/>
    <n v="2"/>
    <s v="Medical"/>
    <n v="1"/>
    <n v="497"/>
    <n v="4"/>
    <x v="1"/>
    <n v="82"/>
    <n v="3"/>
    <n v="1"/>
    <x v="2"/>
    <x v="1"/>
    <s v="Divorced"/>
    <n v="3816"/>
    <n v="17881"/>
    <n v="1"/>
    <s v="Y"/>
    <s v="No"/>
    <n v="11"/>
    <n v="3"/>
    <n v="2"/>
    <n v="80"/>
    <n v="1"/>
    <n v="5"/>
    <n v="2"/>
    <n v="3"/>
    <n v="5"/>
    <n v="2"/>
    <n v="0"/>
    <n v="4"/>
    <x v="1"/>
    <x v="2"/>
    <x v="2"/>
  </r>
  <r>
    <n v="28"/>
    <s v="No"/>
    <s v="Travel_Rarely"/>
    <n v="304"/>
    <x v="0"/>
    <n v="9"/>
    <n v="4"/>
    <s v="Life Sciences"/>
    <n v="1"/>
    <n v="498"/>
    <n v="2"/>
    <x v="1"/>
    <n v="92"/>
    <n v="3"/>
    <n v="2"/>
    <x v="0"/>
    <x v="0"/>
    <s v="Single"/>
    <n v="5253"/>
    <n v="20750"/>
    <n v="1"/>
    <s v="Y"/>
    <s v="No"/>
    <n v="16"/>
    <n v="3"/>
    <n v="4"/>
    <n v="80"/>
    <n v="0"/>
    <n v="7"/>
    <n v="1"/>
    <n v="3"/>
    <n v="7"/>
    <n v="5"/>
    <n v="0"/>
    <n v="7"/>
    <x v="1"/>
    <x v="2"/>
    <x v="0"/>
  </r>
  <r>
    <n v="49"/>
    <s v="No"/>
    <s v="Travel_Rarely"/>
    <n v="1261"/>
    <x v="1"/>
    <n v="7"/>
    <n v="3"/>
    <s v="Other"/>
    <n v="1"/>
    <n v="499"/>
    <n v="2"/>
    <x v="1"/>
    <n v="31"/>
    <n v="2"/>
    <n v="3"/>
    <x v="4"/>
    <x v="2"/>
    <s v="Single"/>
    <n v="10965"/>
    <n v="12066"/>
    <n v="8"/>
    <s v="Y"/>
    <s v="No"/>
    <n v="24"/>
    <n v="4"/>
    <n v="3"/>
    <n v="80"/>
    <n v="0"/>
    <n v="26"/>
    <n v="2"/>
    <n v="3"/>
    <n v="5"/>
    <n v="2"/>
    <n v="0"/>
    <n v="0"/>
    <x v="1"/>
    <x v="1"/>
    <x v="2"/>
  </r>
  <r>
    <n v="51"/>
    <s v="No"/>
    <s v="Travel_Rarely"/>
    <n v="1178"/>
    <x v="0"/>
    <n v="14"/>
    <n v="2"/>
    <s v="Life Sciences"/>
    <n v="1"/>
    <n v="500"/>
    <n v="3"/>
    <x v="0"/>
    <n v="87"/>
    <n v="3"/>
    <n v="2"/>
    <x v="0"/>
    <x v="0"/>
    <s v="Married"/>
    <n v="4936"/>
    <n v="14862"/>
    <n v="4"/>
    <s v="Y"/>
    <s v="No"/>
    <n v="11"/>
    <n v="3"/>
    <n v="3"/>
    <n v="80"/>
    <n v="1"/>
    <n v="18"/>
    <n v="2"/>
    <n v="2"/>
    <n v="7"/>
    <n v="7"/>
    <n v="0"/>
    <n v="7"/>
    <x v="1"/>
    <x v="1"/>
    <x v="0"/>
  </r>
  <r>
    <n v="36"/>
    <s v="No"/>
    <s v="Travel_Rarely"/>
    <n v="329"/>
    <x v="1"/>
    <n v="2"/>
    <n v="3"/>
    <s v="Life Sciences"/>
    <n v="1"/>
    <n v="501"/>
    <n v="4"/>
    <x v="0"/>
    <n v="96"/>
    <n v="3"/>
    <n v="1"/>
    <x v="1"/>
    <x v="2"/>
    <s v="Married"/>
    <n v="2543"/>
    <n v="11868"/>
    <n v="4"/>
    <s v="Y"/>
    <s v="No"/>
    <n v="13"/>
    <n v="3"/>
    <n v="2"/>
    <n v="80"/>
    <n v="1"/>
    <n v="6"/>
    <n v="3"/>
    <n v="3"/>
    <n v="2"/>
    <n v="2"/>
    <n v="2"/>
    <n v="2"/>
    <x v="1"/>
    <x v="0"/>
    <x v="1"/>
  </r>
  <r>
    <n v="34"/>
    <s v="Yes"/>
    <s v="Non-Travel"/>
    <n v="1362"/>
    <x v="0"/>
    <n v="19"/>
    <n v="3"/>
    <s v="Marketing"/>
    <n v="1"/>
    <n v="502"/>
    <n v="1"/>
    <x v="1"/>
    <n v="67"/>
    <n v="4"/>
    <n v="2"/>
    <x v="0"/>
    <x v="0"/>
    <s v="Single"/>
    <n v="5304"/>
    <n v="4652"/>
    <n v="8"/>
    <s v="Y"/>
    <s v="Yes"/>
    <n v="13"/>
    <n v="3"/>
    <n v="2"/>
    <n v="80"/>
    <n v="0"/>
    <n v="9"/>
    <n v="3"/>
    <n v="2"/>
    <n v="5"/>
    <n v="2"/>
    <n v="0"/>
    <n v="4"/>
    <x v="0"/>
    <x v="2"/>
    <x v="2"/>
  </r>
  <r>
    <n v="55"/>
    <s v="No"/>
    <s v="Travel_Rarely"/>
    <n v="1311"/>
    <x v="1"/>
    <n v="2"/>
    <n v="3"/>
    <s v="Life Sciences"/>
    <n v="1"/>
    <n v="505"/>
    <n v="3"/>
    <x v="0"/>
    <n v="97"/>
    <n v="3"/>
    <n v="4"/>
    <x v="5"/>
    <x v="0"/>
    <s v="Single"/>
    <n v="16659"/>
    <n v="23258"/>
    <n v="2"/>
    <s v="Y"/>
    <s v="Yes"/>
    <n v="13"/>
    <n v="3"/>
    <n v="3"/>
    <n v="80"/>
    <n v="0"/>
    <n v="30"/>
    <n v="2"/>
    <n v="3"/>
    <n v="5"/>
    <n v="4"/>
    <n v="1"/>
    <n v="2"/>
    <x v="1"/>
    <x v="1"/>
    <x v="2"/>
  </r>
  <r>
    <n v="24"/>
    <s v="No"/>
    <s v="Travel_Rarely"/>
    <n v="1371"/>
    <x v="0"/>
    <n v="10"/>
    <n v="4"/>
    <s v="Marketing"/>
    <n v="1"/>
    <n v="507"/>
    <n v="4"/>
    <x v="0"/>
    <n v="77"/>
    <n v="3"/>
    <n v="2"/>
    <x v="0"/>
    <x v="2"/>
    <s v="Divorced"/>
    <n v="4260"/>
    <n v="5915"/>
    <n v="1"/>
    <s v="Y"/>
    <s v="Yes"/>
    <n v="12"/>
    <n v="3"/>
    <n v="4"/>
    <n v="80"/>
    <n v="1"/>
    <n v="5"/>
    <n v="2"/>
    <n v="4"/>
    <n v="5"/>
    <n v="2"/>
    <n v="0"/>
    <n v="3"/>
    <x v="1"/>
    <x v="3"/>
    <x v="2"/>
  </r>
  <r>
    <n v="30"/>
    <s v="No"/>
    <s v="Travel_Rarely"/>
    <n v="202"/>
    <x v="0"/>
    <n v="2"/>
    <n v="1"/>
    <s v="Technical Degree"/>
    <n v="1"/>
    <n v="508"/>
    <n v="3"/>
    <x v="1"/>
    <n v="72"/>
    <n v="3"/>
    <n v="1"/>
    <x v="6"/>
    <x v="1"/>
    <s v="Married"/>
    <n v="2476"/>
    <n v="17434"/>
    <n v="1"/>
    <s v="Y"/>
    <s v="No"/>
    <n v="18"/>
    <n v="3"/>
    <n v="1"/>
    <n v="80"/>
    <n v="1"/>
    <n v="1"/>
    <n v="3"/>
    <n v="3"/>
    <n v="1"/>
    <n v="0"/>
    <n v="0"/>
    <n v="0"/>
    <x v="1"/>
    <x v="2"/>
    <x v="1"/>
  </r>
  <r>
    <n v="26"/>
    <s v="Yes"/>
    <s v="Travel_Frequently"/>
    <n v="575"/>
    <x v="1"/>
    <n v="3"/>
    <n v="1"/>
    <s v="Technical Degree"/>
    <n v="1"/>
    <n v="510"/>
    <n v="3"/>
    <x v="1"/>
    <n v="73"/>
    <n v="3"/>
    <n v="1"/>
    <x v="1"/>
    <x v="3"/>
    <s v="Single"/>
    <n v="3102"/>
    <n v="6582"/>
    <n v="0"/>
    <s v="Y"/>
    <s v="No"/>
    <n v="22"/>
    <n v="4"/>
    <n v="3"/>
    <n v="80"/>
    <n v="0"/>
    <n v="7"/>
    <n v="2"/>
    <n v="3"/>
    <n v="6"/>
    <n v="4"/>
    <n v="0"/>
    <n v="4"/>
    <x v="0"/>
    <x v="2"/>
    <x v="0"/>
  </r>
  <r>
    <n v="22"/>
    <s v="No"/>
    <s v="Travel_Rarely"/>
    <n v="253"/>
    <x v="1"/>
    <n v="11"/>
    <n v="3"/>
    <s v="Medical"/>
    <n v="1"/>
    <n v="511"/>
    <n v="1"/>
    <x v="0"/>
    <n v="43"/>
    <n v="3"/>
    <n v="1"/>
    <x v="1"/>
    <x v="1"/>
    <s v="Married"/>
    <n v="2244"/>
    <n v="24440"/>
    <n v="1"/>
    <s v="Y"/>
    <s v="No"/>
    <n v="13"/>
    <n v="3"/>
    <n v="4"/>
    <n v="80"/>
    <n v="1"/>
    <n v="2"/>
    <n v="1"/>
    <n v="3"/>
    <n v="2"/>
    <n v="1"/>
    <n v="1"/>
    <n v="2"/>
    <x v="1"/>
    <x v="3"/>
    <x v="1"/>
  </r>
  <r>
    <n v="36"/>
    <s v="No"/>
    <s v="Travel_Rarely"/>
    <n v="164"/>
    <x v="0"/>
    <n v="2"/>
    <n v="2"/>
    <s v="Medical"/>
    <n v="1"/>
    <n v="513"/>
    <n v="2"/>
    <x v="1"/>
    <n v="61"/>
    <n v="2"/>
    <n v="3"/>
    <x v="0"/>
    <x v="2"/>
    <s v="Married"/>
    <n v="7596"/>
    <n v="3809"/>
    <n v="1"/>
    <s v="Y"/>
    <s v="No"/>
    <n v="13"/>
    <n v="3"/>
    <n v="2"/>
    <n v="80"/>
    <n v="2"/>
    <n v="10"/>
    <n v="2"/>
    <n v="3"/>
    <n v="10"/>
    <n v="9"/>
    <n v="9"/>
    <n v="0"/>
    <x v="1"/>
    <x v="0"/>
    <x v="0"/>
  </r>
  <r>
    <n v="30"/>
    <s v="Yes"/>
    <s v="Travel_Frequently"/>
    <n v="464"/>
    <x v="1"/>
    <n v="4"/>
    <n v="3"/>
    <s v="Technical Degree"/>
    <n v="1"/>
    <n v="514"/>
    <n v="3"/>
    <x v="1"/>
    <n v="40"/>
    <n v="3"/>
    <n v="1"/>
    <x v="1"/>
    <x v="0"/>
    <s v="Single"/>
    <n v="2285"/>
    <n v="3427"/>
    <n v="9"/>
    <s v="Y"/>
    <s v="Yes"/>
    <n v="23"/>
    <n v="4"/>
    <n v="3"/>
    <n v="80"/>
    <n v="0"/>
    <n v="3"/>
    <n v="4"/>
    <n v="3"/>
    <n v="1"/>
    <n v="0"/>
    <n v="0"/>
    <n v="0"/>
    <x v="0"/>
    <x v="2"/>
    <x v="1"/>
  </r>
  <r>
    <n v="37"/>
    <s v="No"/>
    <s v="Travel_Rarely"/>
    <n v="1107"/>
    <x v="1"/>
    <n v="14"/>
    <n v="3"/>
    <s v="Life Sciences"/>
    <n v="1"/>
    <n v="515"/>
    <n v="4"/>
    <x v="0"/>
    <n v="95"/>
    <n v="3"/>
    <n v="1"/>
    <x v="2"/>
    <x v="3"/>
    <s v="Divorced"/>
    <n v="3034"/>
    <n v="26914"/>
    <n v="1"/>
    <s v="Y"/>
    <s v="No"/>
    <n v="12"/>
    <n v="3"/>
    <n v="3"/>
    <n v="80"/>
    <n v="1"/>
    <n v="18"/>
    <n v="2"/>
    <n v="2"/>
    <n v="18"/>
    <n v="7"/>
    <n v="12"/>
    <n v="17"/>
    <x v="1"/>
    <x v="0"/>
    <x v="3"/>
  </r>
  <r>
    <n v="40"/>
    <s v="No"/>
    <s v="Travel_Rarely"/>
    <n v="759"/>
    <x v="0"/>
    <n v="2"/>
    <n v="2"/>
    <s v="Marketing"/>
    <n v="1"/>
    <n v="516"/>
    <n v="4"/>
    <x v="0"/>
    <n v="46"/>
    <n v="3"/>
    <n v="2"/>
    <x v="0"/>
    <x v="1"/>
    <s v="Divorced"/>
    <n v="5715"/>
    <n v="22553"/>
    <n v="7"/>
    <s v="Y"/>
    <s v="No"/>
    <n v="12"/>
    <n v="3"/>
    <n v="3"/>
    <n v="80"/>
    <n v="2"/>
    <n v="8"/>
    <n v="5"/>
    <n v="3"/>
    <n v="5"/>
    <n v="4"/>
    <n v="1"/>
    <n v="3"/>
    <x v="1"/>
    <x v="0"/>
    <x v="2"/>
  </r>
  <r>
    <n v="42"/>
    <s v="No"/>
    <s v="Travel_Rarely"/>
    <n v="201"/>
    <x v="1"/>
    <n v="1"/>
    <n v="4"/>
    <s v="Life Sciences"/>
    <n v="1"/>
    <n v="517"/>
    <n v="2"/>
    <x v="0"/>
    <n v="95"/>
    <n v="3"/>
    <n v="1"/>
    <x v="2"/>
    <x v="3"/>
    <s v="Divorced"/>
    <n v="2576"/>
    <n v="20490"/>
    <n v="3"/>
    <s v="Y"/>
    <s v="No"/>
    <n v="16"/>
    <n v="3"/>
    <n v="2"/>
    <n v="80"/>
    <n v="1"/>
    <n v="8"/>
    <n v="5"/>
    <n v="3"/>
    <n v="5"/>
    <n v="2"/>
    <n v="1"/>
    <n v="2"/>
    <x v="1"/>
    <x v="0"/>
    <x v="2"/>
  </r>
  <r>
    <n v="37"/>
    <s v="No"/>
    <s v="Travel_Rarely"/>
    <n v="1305"/>
    <x v="1"/>
    <n v="10"/>
    <n v="4"/>
    <s v="Life Sciences"/>
    <n v="1"/>
    <n v="518"/>
    <n v="3"/>
    <x v="1"/>
    <n v="49"/>
    <n v="3"/>
    <n v="2"/>
    <x v="3"/>
    <x v="1"/>
    <s v="Single"/>
    <n v="4197"/>
    <n v="21123"/>
    <n v="2"/>
    <s v="Y"/>
    <s v="Yes"/>
    <n v="12"/>
    <n v="3"/>
    <n v="4"/>
    <n v="80"/>
    <n v="0"/>
    <n v="18"/>
    <n v="2"/>
    <n v="2"/>
    <n v="1"/>
    <n v="0"/>
    <n v="0"/>
    <n v="1"/>
    <x v="1"/>
    <x v="0"/>
    <x v="1"/>
  </r>
  <r>
    <n v="43"/>
    <s v="No"/>
    <s v="Travel_Rarely"/>
    <n v="982"/>
    <x v="1"/>
    <n v="12"/>
    <n v="3"/>
    <s v="Life Sciences"/>
    <n v="1"/>
    <n v="520"/>
    <n v="1"/>
    <x v="1"/>
    <n v="59"/>
    <n v="2"/>
    <n v="4"/>
    <x v="7"/>
    <x v="1"/>
    <s v="Divorced"/>
    <n v="14336"/>
    <n v="4345"/>
    <n v="1"/>
    <s v="Y"/>
    <s v="No"/>
    <n v="11"/>
    <n v="3"/>
    <n v="3"/>
    <n v="80"/>
    <n v="1"/>
    <n v="25"/>
    <n v="3"/>
    <n v="3"/>
    <n v="25"/>
    <n v="10"/>
    <n v="3"/>
    <n v="9"/>
    <x v="1"/>
    <x v="0"/>
    <x v="3"/>
  </r>
  <r>
    <n v="40"/>
    <s v="No"/>
    <s v="Travel_Rarely"/>
    <n v="555"/>
    <x v="1"/>
    <n v="2"/>
    <n v="3"/>
    <s v="Medical"/>
    <n v="1"/>
    <n v="521"/>
    <n v="2"/>
    <x v="0"/>
    <n v="78"/>
    <n v="2"/>
    <n v="2"/>
    <x v="2"/>
    <x v="2"/>
    <s v="Married"/>
    <n v="3448"/>
    <n v="13436"/>
    <n v="6"/>
    <s v="Y"/>
    <s v="No"/>
    <n v="22"/>
    <n v="4"/>
    <n v="2"/>
    <n v="80"/>
    <n v="1"/>
    <n v="20"/>
    <n v="3"/>
    <n v="3"/>
    <n v="1"/>
    <n v="0"/>
    <n v="0"/>
    <n v="0"/>
    <x v="1"/>
    <x v="0"/>
    <x v="1"/>
  </r>
  <r>
    <n v="54"/>
    <s v="No"/>
    <s v="Travel_Rarely"/>
    <n v="821"/>
    <x v="1"/>
    <n v="5"/>
    <n v="2"/>
    <s v="Medical"/>
    <n v="1"/>
    <n v="522"/>
    <n v="1"/>
    <x v="1"/>
    <n v="86"/>
    <n v="3"/>
    <n v="5"/>
    <x v="7"/>
    <x v="3"/>
    <s v="Married"/>
    <n v="19406"/>
    <n v="8509"/>
    <n v="4"/>
    <s v="Y"/>
    <s v="No"/>
    <n v="11"/>
    <n v="3"/>
    <n v="3"/>
    <n v="80"/>
    <n v="1"/>
    <n v="24"/>
    <n v="4"/>
    <n v="2"/>
    <n v="4"/>
    <n v="2"/>
    <n v="1"/>
    <n v="2"/>
    <x v="1"/>
    <x v="1"/>
    <x v="2"/>
  </r>
  <r>
    <n v="34"/>
    <s v="No"/>
    <s v="Non-Travel"/>
    <n v="1381"/>
    <x v="0"/>
    <n v="4"/>
    <n v="4"/>
    <s v="Marketing"/>
    <n v="1"/>
    <n v="523"/>
    <n v="3"/>
    <x v="0"/>
    <n v="72"/>
    <n v="3"/>
    <n v="2"/>
    <x v="0"/>
    <x v="2"/>
    <s v="Married"/>
    <n v="6538"/>
    <n v="12740"/>
    <n v="9"/>
    <s v="Y"/>
    <s v="No"/>
    <n v="15"/>
    <n v="3"/>
    <n v="1"/>
    <n v="80"/>
    <n v="1"/>
    <n v="6"/>
    <n v="3"/>
    <n v="3"/>
    <n v="3"/>
    <n v="2"/>
    <n v="1"/>
    <n v="2"/>
    <x v="1"/>
    <x v="2"/>
    <x v="2"/>
  </r>
  <r>
    <n v="31"/>
    <s v="No"/>
    <s v="Travel_Rarely"/>
    <n v="480"/>
    <x v="1"/>
    <n v="7"/>
    <n v="2"/>
    <s v="Medical"/>
    <n v="1"/>
    <n v="524"/>
    <n v="2"/>
    <x v="0"/>
    <n v="31"/>
    <n v="3"/>
    <n v="2"/>
    <x v="3"/>
    <x v="3"/>
    <s v="Married"/>
    <n v="4306"/>
    <n v="4156"/>
    <n v="1"/>
    <s v="Y"/>
    <s v="No"/>
    <n v="12"/>
    <n v="3"/>
    <n v="2"/>
    <n v="80"/>
    <n v="1"/>
    <n v="13"/>
    <n v="5"/>
    <n v="1"/>
    <n v="13"/>
    <n v="10"/>
    <n v="3"/>
    <n v="12"/>
    <x v="1"/>
    <x v="2"/>
    <x v="3"/>
  </r>
  <r>
    <n v="43"/>
    <s v="No"/>
    <s v="Travel_Frequently"/>
    <n v="313"/>
    <x v="1"/>
    <n v="21"/>
    <n v="3"/>
    <s v="Medical"/>
    <n v="1"/>
    <n v="525"/>
    <n v="4"/>
    <x v="1"/>
    <n v="61"/>
    <n v="3"/>
    <n v="1"/>
    <x v="2"/>
    <x v="0"/>
    <s v="Married"/>
    <n v="2258"/>
    <n v="15238"/>
    <n v="7"/>
    <s v="Y"/>
    <s v="No"/>
    <n v="20"/>
    <n v="4"/>
    <n v="1"/>
    <n v="80"/>
    <n v="1"/>
    <n v="8"/>
    <n v="1"/>
    <n v="3"/>
    <n v="3"/>
    <n v="2"/>
    <n v="1"/>
    <n v="2"/>
    <x v="1"/>
    <x v="0"/>
    <x v="2"/>
  </r>
  <r>
    <n v="43"/>
    <s v="No"/>
    <s v="Travel_Rarely"/>
    <n v="1473"/>
    <x v="1"/>
    <n v="8"/>
    <n v="4"/>
    <s v="Other"/>
    <n v="1"/>
    <n v="526"/>
    <n v="3"/>
    <x v="0"/>
    <n v="74"/>
    <n v="3"/>
    <n v="2"/>
    <x v="4"/>
    <x v="2"/>
    <s v="Divorced"/>
    <n v="4522"/>
    <n v="2227"/>
    <n v="4"/>
    <s v="Y"/>
    <s v="Yes"/>
    <n v="14"/>
    <n v="3"/>
    <n v="4"/>
    <n v="80"/>
    <n v="0"/>
    <n v="8"/>
    <n v="3"/>
    <n v="3"/>
    <n v="5"/>
    <n v="2"/>
    <n v="0"/>
    <n v="2"/>
    <x v="1"/>
    <x v="0"/>
    <x v="2"/>
  </r>
  <r>
    <n v="25"/>
    <s v="No"/>
    <s v="Travel_Rarely"/>
    <n v="891"/>
    <x v="0"/>
    <n v="4"/>
    <n v="2"/>
    <s v="Life Sciences"/>
    <n v="1"/>
    <n v="527"/>
    <n v="2"/>
    <x v="0"/>
    <n v="99"/>
    <n v="2"/>
    <n v="2"/>
    <x v="0"/>
    <x v="0"/>
    <s v="Single"/>
    <n v="4487"/>
    <n v="12090"/>
    <n v="1"/>
    <s v="Y"/>
    <s v="Yes"/>
    <n v="11"/>
    <n v="3"/>
    <n v="2"/>
    <n v="80"/>
    <n v="0"/>
    <n v="5"/>
    <n v="3"/>
    <n v="3"/>
    <n v="5"/>
    <n v="4"/>
    <n v="1"/>
    <n v="3"/>
    <x v="1"/>
    <x v="3"/>
    <x v="2"/>
  </r>
  <r>
    <n v="37"/>
    <s v="No"/>
    <s v="Non-Travel"/>
    <n v="1063"/>
    <x v="1"/>
    <n v="25"/>
    <n v="5"/>
    <s v="Medical"/>
    <n v="1"/>
    <n v="529"/>
    <n v="2"/>
    <x v="0"/>
    <n v="72"/>
    <n v="3"/>
    <n v="2"/>
    <x v="1"/>
    <x v="2"/>
    <s v="Married"/>
    <n v="4449"/>
    <n v="23866"/>
    <n v="3"/>
    <s v="Y"/>
    <s v="Yes"/>
    <n v="15"/>
    <n v="3"/>
    <n v="1"/>
    <n v="80"/>
    <n v="2"/>
    <n v="15"/>
    <n v="2"/>
    <n v="3"/>
    <n v="13"/>
    <n v="11"/>
    <n v="10"/>
    <n v="7"/>
    <x v="1"/>
    <x v="0"/>
    <x v="3"/>
  </r>
  <r>
    <n v="31"/>
    <s v="No"/>
    <s v="Travel_Rarely"/>
    <n v="329"/>
    <x v="1"/>
    <n v="1"/>
    <n v="2"/>
    <s v="Life Sciences"/>
    <n v="1"/>
    <n v="530"/>
    <n v="4"/>
    <x v="1"/>
    <n v="98"/>
    <n v="2"/>
    <n v="1"/>
    <x v="2"/>
    <x v="3"/>
    <s v="Married"/>
    <n v="2218"/>
    <n v="16193"/>
    <n v="1"/>
    <s v="Y"/>
    <s v="No"/>
    <n v="12"/>
    <n v="3"/>
    <n v="3"/>
    <n v="80"/>
    <n v="1"/>
    <n v="4"/>
    <n v="3"/>
    <n v="3"/>
    <n v="4"/>
    <n v="2"/>
    <n v="3"/>
    <n v="2"/>
    <x v="1"/>
    <x v="2"/>
    <x v="2"/>
  </r>
  <r>
    <n v="39"/>
    <s v="No"/>
    <s v="Travel_Frequently"/>
    <n v="1218"/>
    <x v="1"/>
    <n v="1"/>
    <n v="1"/>
    <s v="Life Sciences"/>
    <n v="1"/>
    <n v="531"/>
    <n v="2"/>
    <x v="1"/>
    <n v="52"/>
    <n v="3"/>
    <n v="5"/>
    <x v="5"/>
    <x v="2"/>
    <s v="Divorced"/>
    <n v="19197"/>
    <n v="8213"/>
    <n v="1"/>
    <s v="Y"/>
    <s v="Yes"/>
    <n v="14"/>
    <n v="3"/>
    <n v="3"/>
    <n v="80"/>
    <n v="1"/>
    <n v="21"/>
    <n v="3"/>
    <n v="3"/>
    <n v="21"/>
    <n v="8"/>
    <n v="1"/>
    <n v="6"/>
    <x v="1"/>
    <x v="0"/>
    <x v="3"/>
  </r>
  <r>
    <n v="56"/>
    <s v="No"/>
    <s v="Travel_Frequently"/>
    <n v="906"/>
    <x v="0"/>
    <n v="6"/>
    <n v="3"/>
    <s v="Life Sciences"/>
    <n v="1"/>
    <n v="532"/>
    <n v="3"/>
    <x v="0"/>
    <n v="86"/>
    <n v="4"/>
    <n v="4"/>
    <x v="0"/>
    <x v="3"/>
    <s v="Married"/>
    <n v="13212"/>
    <n v="18256"/>
    <n v="9"/>
    <s v="Y"/>
    <s v="No"/>
    <n v="11"/>
    <n v="3"/>
    <n v="4"/>
    <n v="80"/>
    <n v="3"/>
    <n v="36"/>
    <n v="0"/>
    <n v="2"/>
    <n v="7"/>
    <n v="7"/>
    <n v="7"/>
    <n v="7"/>
    <x v="1"/>
    <x v="1"/>
    <x v="0"/>
  </r>
  <r>
    <n v="30"/>
    <s v="No"/>
    <s v="Travel_Rarely"/>
    <n v="1082"/>
    <x v="0"/>
    <n v="12"/>
    <n v="3"/>
    <s v="Technical Degree"/>
    <n v="1"/>
    <n v="533"/>
    <n v="2"/>
    <x v="0"/>
    <n v="83"/>
    <n v="3"/>
    <n v="2"/>
    <x v="0"/>
    <x v="2"/>
    <s v="Single"/>
    <n v="6577"/>
    <n v="19558"/>
    <n v="0"/>
    <s v="Y"/>
    <s v="No"/>
    <n v="11"/>
    <n v="3"/>
    <n v="2"/>
    <n v="80"/>
    <n v="0"/>
    <n v="6"/>
    <n v="6"/>
    <n v="3"/>
    <n v="5"/>
    <n v="4"/>
    <n v="4"/>
    <n v="4"/>
    <x v="1"/>
    <x v="2"/>
    <x v="2"/>
  </r>
  <r>
    <n v="41"/>
    <s v="No"/>
    <s v="Travel_Rarely"/>
    <n v="645"/>
    <x v="0"/>
    <n v="1"/>
    <n v="3"/>
    <s v="Marketing"/>
    <n v="1"/>
    <n v="534"/>
    <n v="2"/>
    <x v="1"/>
    <n v="49"/>
    <n v="4"/>
    <n v="3"/>
    <x v="0"/>
    <x v="3"/>
    <s v="Married"/>
    <n v="8392"/>
    <n v="19566"/>
    <n v="1"/>
    <s v="Y"/>
    <s v="No"/>
    <n v="16"/>
    <n v="3"/>
    <n v="3"/>
    <n v="80"/>
    <n v="1"/>
    <n v="10"/>
    <n v="2"/>
    <n v="3"/>
    <n v="10"/>
    <n v="7"/>
    <n v="0"/>
    <n v="7"/>
    <x v="1"/>
    <x v="0"/>
    <x v="0"/>
  </r>
  <r>
    <n v="28"/>
    <s v="No"/>
    <s v="Travel_Rarely"/>
    <n v="1300"/>
    <x v="1"/>
    <n v="17"/>
    <n v="2"/>
    <s v="Medical"/>
    <n v="1"/>
    <n v="536"/>
    <n v="3"/>
    <x v="1"/>
    <n v="79"/>
    <n v="3"/>
    <n v="2"/>
    <x v="2"/>
    <x v="3"/>
    <s v="Divorced"/>
    <n v="4558"/>
    <n v="13535"/>
    <n v="1"/>
    <s v="Y"/>
    <s v="No"/>
    <n v="12"/>
    <n v="3"/>
    <n v="4"/>
    <n v="80"/>
    <n v="1"/>
    <n v="10"/>
    <n v="2"/>
    <n v="3"/>
    <n v="10"/>
    <n v="0"/>
    <n v="1"/>
    <n v="8"/>
    <x v="1"/>
    <x v="2"/>
    <x v="0"/>
  </r>
  <r>
    <n v="25"/>
    <s v="Yes"/>
    <s v="Travel_Rarely"/>
    <n v="688"/>
    <x v="1"/>
    <n v="3"/>
    <n v="3"/>
    <s v="Medical"/>
    <n v="1"/>
    <n v="538"/>
    <n v="1"/>
    <x v="1"/>
    <n v="91"/>
    <n v="3"/>
    <n v="1"/>
    <x v="2"/>
    <x v="3"/>
    <s v="Married"/>
    <n v="4031"/>
    <n v="9396"/>
    <n v="5"/>
    <s v="Y"/>
    <s v="No"/>
    <n v="13"/>
    <n v="3"/>
    <n v="3"/>
    <n v="80"/>
    <n v="1"/>
    <n v="6"/>
    <n v="5"/>
    <n v="3"/>
    <n v="2"/>
    <n v="2"/>
    <n v="0"/>
    <n v="2"/>
    <x v="0"/>
    <x v="3"/>
    <x v="1"/>
  </r>
  <r>
    <n v="52"/>
    <s v="No"/>
    <s v="Travel_Rarely"/>
    <n v="319"/>
    <x v="1"/>
    <n v="3"/>
    <n v="3"/>
    <s v="Medical"/>
    <n v="1"/>
    <n v="543"/>
    <n v="4"/>
    <x v="1"/>
    <n v="39"/>
    <n v="2"/>
    <n v="3"/>
    <x v="3"/>
    <x v="2"/>
    <s v="Married"/>
    <n v="7969"/>
    <n v="19609"/>
    <n v="2"/>
    <s v="Y"/>
    <s v="Yes"/>
    <n v="14"/>
    <n v="3"/>
    <n v="3"/>
    <n v="80"/>
    <n v="0"/>
    <n v="28"/>
    <n v="4"/>
    <n v="3"/>
    <n v="5"/>
    <n v="4"/>
    <n v="0"/>
    <n v="4"/>
    <x v="1"/>
    <x v="1"/>
    <x v="2"/>
  </r>
  <r>
    <n v="45"/>
    <s v="No"/>
    <s v="Travel_Rarely"/>
    <n v="192"/>
    <x v="1"/>
    <n v="10"/>
    <n v="2"/>
    <s v="Life Sciences"/>
    <n v="1"/>
    <n v="544"/>
    <n v="1"/>
    <x v="1"/>
    <n v="69"/>
    <n v="3"/>
    <n v="1"/>
    <x v="1"/>
    <x v="0"/>
    <s v="Married"/>
    <n v="2654"/>
    <n v="9655"/>
    <n v="3"/>
    <s v="Y"/>
    <s v="No"/>
    <n v="21"/>
    <n v="4"/>
    <n v="4"/>
    <n v="80"/>
    <n v="2"/>
    <n v="8"/>
    <n v="3"/>
    <n v="2"/>
    <n v="2"/>
    <n v="2"/>
    <n v="0"/>
    <n v="2"/>
    <x v="1"/>
    <x v="0"/>
    <x v="1"/>
  </r>
  <r>
    <n v="52"/>
    <s v="No"/>
    <s v="Travel_Rarely"/>
    <n v="1490"/>
    <x v="1"/>
    <n v="4"/>
    <n v="2"/>
    <s v="Life Sciences"/>
    <n v="1"/>
    <n v="546"/>
    <n v="4"/>
    <x v="0"/>
    <n v="30"/>
    <n v="3"/>
    <n v="4"/>
    <x v="5"/>
    <x v="0"/>
    <s v="Married"/>
    <n v="16555"/>
    <n v="10310"/>
    <n v="2"/>
    <s v="Y"/>
    <s v="No"/>
    <n v="13"/>
    <n v="3"/>
    <n v="4"/>
    <n v="80"/>
    <n v="0"/>
    <n v="31"/>
    <n v="2"/>
    <n v="1"/>
    <n v="5"/>
    <n v="2"/>
    <n v="1"/>
    <n v="4"/>
    <x v="1"/>
    <x v="1"/>
    <x v="2"/>
  </r>
  <r>
    <n v="42"/>
    <s v="No"/>
    <s v="Travel_Frequently"/>
    <n v="532"/>
    <x v="1"/>
    <n v="29"/>
    <n v="2"/>
    <s v="Life Sciences"/>
    <n v="1"/>
    <n v="547"/>
    <n v="1"/>
    <x v="0"/>
    <n v="92"/>
    <n v="3"/>
    <n v="2"/>
    <x v="1"/>
    <x v="2"/>
    <s v="Divorced"/>
    <n v="4556"/>
    <n v="12932"/>
    <n v="2"/>
    <s v="Y"/>
    <s v="No"/>
    <n v="11"/>
    <n v="3"/>
    <n v="2"/>
    <n v="80"/>
    <n v="1"/>
    <n v="19"/>
    <n v="3"/>
    <n v="3"/>
    <n v="5"/>
    <n v="4"/>
    <n v="0"/>
    <n v="2"/>
    <x v="1"/>
    <x v="0"/>
    <x v="2"/>
  </r>
  <r>
    <n v="30"/>
    <s v="No"/>
    <s v="Travel_Rarely"/>
    <n v="317"/>
    <x v="1"/>
    <n v="2"/>
    <n v="3"/>
    <s v="Life Sciences"/>
    <n v="1"/>
    <n v="548"/>
    <n v="3"/>
    <x v="0"/>
    <n v="43"/>
    <n v="1"/>
    <n v="2"/>
    <x v="3"/>
    <x v="0"/>
    <s v="Single"/>
    <n v="6091"/>
    <n v="24793"/>
    <n v="2"/>
    <s v="Y"/>
    <s v="No"/>
    <n v="20"/>
    <n v="4"/>
    <n v="3"/>
    <n v="80"/>
    <n v="0"/>
    <n v="11"/>
    <n v="2"/>
    <n v="3"/>
    <n v="5"/>
    <n v="4"/>
    <n v="0"/>
    <n v="2"/>
    <x v="1"/>
    <x v="2"/>
    <x v="2"/>
  </r>
  <r>
    <n v="60"/>
    <s v="No"/>
    <s v="Travel_Rarely"/>
    <n v="422"/>
    <x v="1"/>
    <n v="7"/>
    <n v="3"/>
    <s v="Life Sciences"/>
    <n v="1"/>
    <n v="549"/>
    <n v="1"/>
    <x v="0"/>
    <n v="41"/>
    <n v="3"/>
    <n v="5"/>
    <x v="5"/>
    <x v="3"/>
    <s v="Married"/>
    <n v="19566"/>
    <n v="3854"/>
    <n v="5"/>
    <s v="Y"/>
    <s v="No"/>
    <n v="11"/>
    <n v="3"/>
    <n v="4"/>
    <n v="80"/>
    <n v="0"/>
    <n v="33"/>
    <n v="5"/>
    <n v="1"/>
    <n v="29"/>
    <n v="8"/>
    <n v="11"/>
    <n v="10"/>
    <x v="1"/>
    <x v="1"/>
    <x v="3"/>
  </r>
  <r>
    <n v="46"/>
    <s v="No"/>
    <s v="Travel_Rarely"/>
    <n v="1485"/>
    <x v="1"/>
    <n v="18"/>
    <n v="3"/>
    <s v="Medical"/>
    <n v="1"/>
    <n v="550"/>
    <n v="3"/>
    <x v="0"/>
    <n v="87"/>
    <n v="3"/>
    <n v="2"/>
    <x v="3"/>
    <x v="2"/>
    <s v="Divorced"/>
    <n v="4810"/>
    <n v="26314"/>
    <n v="2"/>
    <s v="Y"/>
    <s v="No"/>
    <n v="14"/>
    <n v="3"/>
    <n v="3"/>
    <n v="80"/>
    <n v="1"/>
    <n v="19"/>
    <n v="5"/>
    <n v="2"/>
    <n v="10"/>
    <n v="7"/>
    <n v="0"/>
    <n v="8"/>
    <x v="1"/>
    <x v="1"/>
    <x v="0"/>
  </r>
  <r>
    <n v="42"/>
    <s v="No"/>
    <s v="Travel_Frequently"/>
    <n v="1368"/>
    <x v="1"/>
    <n v="28"/>
    <n v="4"/>
    <s v="Technical Degree"/>
    <n v="1"/>
    <n v="551"/>
    <n v="4"/>
    <x v="0"/>
    <n v="88"/>
    <n v="2"/>
    <n v="2"/>
    <x v="4"/>
    <x v="0"/>
    <s v="Married"/>
    <n v="4523"/>
    <n v="4386"/>
    <n v="0"/>
    <s v="Y"/>
    <s v="No"/>
    <n v="11"/>
    <n v="3"/>
    <n v="4"/>
    <n v="80"/>
    <n v="3"/>
    <n v="7"/>
    <n v="4"/>
    <n v="4"/>
    <n v="6"/>
    <n v="5"/>
    <n v="0"/>
    <n v="4"/>
    <x v="1"/>
    <x v="0"/>
    <x v="0"/>
  </r>
  <r>
    <n v="24"/>
    <s v="Yes"/>
    <s v="Travel_Rarely"/>
    <n v="1448"/>
    <x v="0"/>
    <n v="1"/>
    <n v="1"/>
    <s v="Technical Degree"/>
    <n v="1"/>
    <n v="554"/>
    <n v="1"/>
    <x v="0"/>
    <n v="62"/>
    <n v="3"/>
    <n v="1"/>
    <x v="6"/>
    <x v="1"/>
    <s v="Single"/>
    <n v="3202"/>
    <n v="21972"/>
    <n v="1"/>
    <s v="Y"/>
    <s v="Yes"/>
    <n v="16"/>
    <n v="3"/>
    <n v="2"/>
    <n v="80"/>
    <n v="0"/>
    <n v="6"/>
    <n v="4"/>
    <n v="3"/>
    <n v="5"/>
    <n v="3"/>
    <n v="1"/>
    <n v="4"/>
    <x v="0"/>
    <x v="3"/>
    <x v="2"/>
  </r>
  <r>
    <n v="34"/>
    <s v="Yes"/>
    <s v="Travel_Frequently"/>
    <n v="296"/>
    <x v="0"/>
    <n v="6"/>
    <n v="2"/>
    <s v="Marketing"/>
    <n v="1"/>
    <n v="555"/>
    <n v="4"/>
    <x v="0"/>
    <n v="33"/>
    <n v="1"/>
    <n v="1"/>
    <x v="6"/>
    <x v="2"/>
    <s v="Divorced"/>
    <n v="2351"/>
    <n v="12253"/>
    <n v="0"/>
    <s v="Y"/>
    <s v="No"/>
    <n v="16"/>
    <n v="3"/>
    <n v="4"/>
    <n v="80"/>
    <n v="1"/>
    <n v="3"/>
    <n v="3"/>
    <n v="2"/>
    <n v="2"/>
    <n v="2"/>
    <n v="1"/>
    <n v="0"/>
    <x v="0"/>
    <x v="2"/>
    <x v="1"/>
  </r>
  <r>
    <n v="38"/>
    <s v="No"/>
    <s v="Travel_Frequently"/>
    <n v="1490"/>
    <x v="1"/>
    <n v="2"/>
    <n v="2"/>
    <s v="Life Sciences"/>
    <n v="1"/>
    <n v="556"/>
    <n v="4"/>
    <x v="1"/>
    <n v="42"/>
    <n v="3"/>
    <n v="1"/>
    <x v="2"/>
    <x v="0"/>
    <s v="Married"/>
    <n v="1702"/>
    <n v="12106"/>
    <n v="1"/>
    <s v="Y"/>
    <s v="Yes"/>
    <n v="23"/>
    <n v="4"/>
    <n v="3"/>
    <n v="80"/>
    <n v="1"/>
    <n v="1"/>
    <n v="3"/>
    <n v="3"/>
    <n v="1"/>
    <n v="0"/>
    <n v="0"/>
    <n v="0"/>
    <x v="1"/>
    <x v="0"/>
    <x v="1"/>
  </r>
  <r>
    <n v="40"/>
    <s v="No"/>
    <s v="Travel_Rarely"/>
    <n v="1398"/>
    <x v="0"/>
    <n v="2"/>
    <n v="4"/>
    <s v="Life Sciences"/>
    <n v="1"/>
    <n v="558"/>
    <n v="3"/>
    <x v="0"/>
    <n v="79"/>
    <n v="3"/>
    <n v="5"/>
    <x v="5"/>
    <x v="2"/>
    <s v="Married"/>
    <n v="18041"/>
    <n v="13022"/>
    <n v="0"/>
    <s v="Y"/>
    <s v="No"/>
    <n v="14"/>
    <n v="3"/>
    <n v="4"/>
    <n v="80"/>
    <n v="0"/>
    <n v="21"/>
    <n v="2"/>
    <n v="3"/>
    <n v="20"/>
    <n v="15"/>
    <n v="1"/>
    <n v="12"/>
    <x v="1"/>
    <x v="0"/>
    <x v="3"/>
  </r>
  <r>
    <n v="26"/>
    <s v="No"/>
    <s v="Travel_Rarely"/>
    <n v="1349"/>
    <x v="1"/>
    <n v="23"/>
    <n v="3"/>
    <s v="Life Sciences"/>
    <n v="1"/>
    <n v="560"/>
    <n v="1"/>
    <x v="0"/>
    <n v="90"/>
    <n v="3"/>
    <n v="1"/>
    <x v="1"/>
    <x v="0"/>
    <s v="Divorced"/>
    <n v="2886"/>
    <n v="3032"/>
    <n v="1"/>
    <s v="Y"/>
    <s v="No"/>
    <n v="22"/>
    <n v="4"/>
    <n v="2"/>
    <n v="80"/>
    <n v="2"/>
    <n v="3"/>
    <n v="3"/>
    <n v="1"/>
    <n v="3"/>
    <n v="2"/>
    <n v="0"/>
    <n v="2"/>
    <x v="1"/>
    <x v="2"/>
    <x v="2"/>
  </r>
  <r>
    <n v="30"/>
    <s v="No"/>
    <s v="Non-Travel"/>
    <n v="1400"/>
    <x v="1"/>
    <n v="3"/>
    <n v="3"/>
    <s v="Life Sciences"/>
    <n v="1"/>
    <n v="562"/>
    <n v="3"/>
    <x v="1"/>
    <n v="53"/>
    <n v="3"/>
    <n v="1"/>
    <x v="2"/>
    <x v="0"/>
    <s v="Married"/>
    <n v="2097"/>
    <n v="16734"/>
    <n v="4"/>
    <s v="Y"/>
    <s v="No"/>
    <n v="15"/>
    <n v="3"/>
    <n v="3"/>
    <n v="80"/>
    <n v="1"/>
    <n v="9"/>
    <n v="3"/>
    <n v="1"/>
    <n v="5"/>
    <n v="3"/>
    <n v="1"/>
    <n v="4"/>
    <x v="1"/>
    <x v="2"/>
    <x v="2"/>
  </r>
  <r>
    <n v="29"/>
    <s v="No"/>
    <s v="Travel_Rarely"/>
    <n v="986"/>
    <x v="1"/>
    <n v="3"/>
    <n v="4"/>
    <s v="Medical"/>
    <n v="1"/>
    <n v="564"/>
    <n v="2"/>
    <x v="1"/>
    <n v="93"/>
    <n v="2"/>
    <n v="3"/>
    <x v="7"/>
    <x v="2"/>
    <s v="Married"/>
    <n v="11935"/>
    <n v="21526"/>
    <n v="1"/>
    <s v="Y"/>
    <s v="No"/>
    <n v="18"/>
    <n v="3"/>
    <n v="3"/>
    <n v="80"/>
    <n v="0"/>
    <n v="10"/>
    <n v="2"/>
    <n v="3"/>
    <n v="10"/>
    <n v="2"/>
    <n v="0"/>
    <n v="7"/>
    <x v="1"/>
    <x v="2"/>
    <x v="0"/>
  </r>
  <r>
    <n v="29"/>
    <s v="Yes"/>
    <s v="Travel_Rarely"/>
    <n v="408"/>
    <x v="1"/>
    <n v="25"/>
    <n v="5"/>
    <s v="Technical Degree"/>
    <n v="1"/>
    <n v="565"/>
    <n v="3"/>
    <x v="0"/>
    <n v="71"/>
    <n v="2"/>
    <n v="1"/>
    <x v="1"/>
    <x v="1"/>
    <s v="Married"/>
    <n v="2546"/>
    <n v="18300"/>
    <n v="5"/>
    <s v="Y"/>
    <s v="No"/>
    <n v="16"/>
    <n v="3"/>
    <n v="2"/>
    <n v="80"/>
    <n v="0"/>
    <n v="6"/>
    <n v="2"/>
    <n v="4"/>
    <n v="2"/>
    <n v="2"/>
    <n v="1"/>
    <n v="1"/>
    <x v="0"/>
    <x v="2"/>
    <x v="1"/>
  </r>
  <r>
    <n v="19"/>
    <s v="Yes"/>
    <s v="Travel_Rarely"/>
    <n v="489"/>
    <x v="2"/>
    <n v="2"/>
    <n v="2"/>
    <s v="Technical Degree"/>
    <n v="1"/>
    <n v="566"/>
    <n v="1"/>
    <x v="1"/>
    <n v="52"/>
    <n v="2"/>
    <n v="1"/>
    <x v="8"/>
    <x v="0"/>
    <s v="Single"/>
    <n v="2564"/>
    <n v="18437"/>
    <n v="1"/>
    <s v="Y"/>
    <s v="No"/>
    <n v="12"/>
    <n v="3"/>
    <n v="3"/>
    <n v="80"/>
    <n v="0"/>
    <n v="1"/>
    <n v="3"/>
    <n v="4"/>
    <n v="1"/>
    <n v="0"/>
    <n v="0"/>
    <n v="0"/>
    <x v="0"/>
    <x v="3"/>
    <x v="1"/>
  </r>
  <r>
    <n v="30"/>
    <s v="No"/>
    <s v="Non-Travel"/>
    <n v="1398"/>
    <x v="0"/>
    <n v="22"/>
    <n v="4"/>
    <s v="Other"/>
    <n v="1"/>
    <n v="567"/>
    <n v="3"/>
    <x v="0"/>
    <n v="69"/>
    <n v="3"/>
    <n v="3"/>
    <x v="0"/>
    <x v="3"/>
    <s v="Married"/>
    <n v="8412"/>
    <n v="2890"/>
    <n v="0"/>
    <s v="Y"/>
    <s v="No"/>
    <n v="11"/>
    <n v="3"/>
    <n v="3"/>
    <n v="80"/>
    <n v="0"/>
    <n v="10"/>
    <n v="3"/>
    <n v="3"/>
    <n v="9"/>
    <n v="8"/>
    <n v="7"/>
    <n v="8"/>
    <x v="1"/>
    <x v="2"/>
    <x v="0"/>
  </r>
  <r>
    <n v="57"/>
    <s v="No"/>
    <s v="Travel_Rarely"/>
    <n v="210"/>
    <x v="0"/>
    <n v="29"/>
    <n v="3"/>
    <s v="Marketing"/>
    <n v="1"/>
    <n v="568"/>
    <n v="1"/>
    <x v="1"/>
    <n v="56"/>
    <n v="2"/>
    <n v="4"/>
    <x v="5"/>
    <x v="0"/>
    <s v="Divorced"/>
    <n v="14118"/>
    <n v="22102"/>
    <n v="3"/>
    <s v="Y"/>
    <s v="No"/>
    <n v="12"/>
    <n v="3"/>
    <n v="3"/>
    <n v="80"/>
    <n v="1"/>
    <n v="32"/>
    <n v="3"/>
    <n v="2"/>
    <n v="1"/>
    <n v="0"/>
    <n v="0"/>
    <n v="0"/>
    <x v="1"/>
    <x v="1"/>
    <x v="1"/>
  </r>
  <r>
    <n v="50"/>
    <s v="No"/>
    <s v="Travel_Rarely"/>
    <n v="1099"/>
    <x v="1"/>
    <n v="29"/>
    <n v="4"/>
    <s v="Life Sciences"/>
    <n v="1"/>
    <n v="569"/>
    <n v="2"/>
    <x v="1"/>
    <n v="88"/>
    <n v="2"/>
    <n v="4"/>
    <x v="5"/>
    <x v="2"/>
    <s v="Married"/>
    <n v="17046"/>
    <n v="9314"/>
    <n v="0"/>
    <s v="Y"/>
    <s v="No"/>
    <n v="15"/>
    <n v="3"/>
    <n v="2"/>
    <n v="80"/>
    <n v="1"/>
    <n v="28"/>
    <n v="2"/>
    <n v="3"/>
    <n v="27"/>
    <n v="10"/>
    <n v="15"/>
    <n v="7"/>
    <x v="1"/>
    <x v="1"/>
    <x v="3"/>
  </r>
  <r>
    <n v="30"/>
    <s v="No"/>
    <s v="Non-Travel"/>
    <n v="1116"/>
    <x v="1"/>
    <n v="2"/>
    <n v="3"/>
    <s v="Medical"/>
    <n v="1"/>
    <n v="571"/>
    <n v="3"/>
    <x v="0"/>
    <n v="49"/>
    <n v="3"/>
    <n v="1"/>
    <x v="2"/>
    <x v="0"/>
    <s v="Single"/>
    <n v="2564"/>
    <n v="7181"/>
    <n v="0"/>
    <s v="Y"/>
    <s v="No"/>
    <n v="14"/>
    <n v="3"/>
    <n v="3"/>
    <n v="80"/>
    <n v="0"/>
    <n v="12"/>
    <n v="2"/>
    <n v="2"/>
    <n v="11"/>
    <n v="7"/>
    <n v="6"/>
    <n v="7"/>
    <x v="1"/>
    <x v="2"/>
    <x v="3"/>
  </r>
  <r>
    <n v="60"/>
    <s v="No"/>
    <s v="Travel_Frequently"/>
    <n v="1499"/>
    <x v="0"/>
    <n v="28"/>
    <n v="3"/>
    <s v="Marketing"/>
    <n v="1"/>
    <n v="573"/>
    <n v="3"/>
    <x v="0"/>
    <n v="80"/>
    <n v="2"/>
    <n v="3"/>
    <x v="0"/>
    <x v="3"/>
    <s v="Married"/>
    <n v="10266"/>
    <n v="2845"/>
    <n v="4"/>
    <s v="Y"/>
    <s v="No"/>
    <n v="19"/>
    <n v="3"/>
    <n v="4"/>
    <n v="80"/>
    <n v="0"/>
    <n v="22"/>
    <n v="5"/>
    <n v="4"/>
    <n v="18"/>
    <n v="13"/>
    <n v="13"/>
    <n v="11"/>
    <x v="1"/>
    <x v="1"/>
    <x v="3"/>
  </r>
  <r>
    <n v="47"/>
    <s v="No"/>
    <s v="Travel_Rarely"/>
    <n v="983"/>
    <x v="1"/>
    <n v="2"/>
    <n v="2"/>
    <s v="Medical"/>
    <n v="1"/>
    <n v="574"/>
    <n v="1"/>
    <x v="0"/>
    <n v="65"/>
    <n v="3"/>
    <n v="2"/>
    <x v="3"/>
    <x v="0"/>
    <s v="Divorced"/>
    <n v="5070"/>
    <n v="7389"/>
    <n v="5"/>
    <s v="Y"/>
    <s v="No"/>
    <n v="13"/>
    <n v="3"/>
    <n v="3"/>
    <n v="80"/>
    <n v="3"/>
    <n v="20"/>
    <n v="2"/>
    <n v="3"/>
    <n v="5"/>
    <n v="0"/>
    <n v="0"/>
    <n v="4"/>
    <x v="1"/>
    <x v="1"/>
    <x v="2"/>
  </r>
  <r>
    <n v="46"/>
    <s v="No"/>
    <s v="Travel_Rarely"/>
    <n v="1009"/>
    <x v="1"/>
    <n v="2"/>
    <n v="3"/>
    <s v="Life Sciences"/>
    <n v="1"/>
    <n v="575"/>
    <n v="1"/>
    <x v="1"/>
    <n v="51"/>
    <n v="3"/>
    <n v="4"/>
    <x v="7"/>
    <x v="2"/>
    <s v="Married"/>
    <n v="17861"/>
    <n v="2288"/>
    <n v="6"/>
    <s v="Y"/>
    <s v="No"/>
    <n v="13"/>
    <n v="3"/>
    <n v="3"/>
    <n v="80"/>
    <n v="0"/>
    <n v="26"/>
    <n v="2"/>
    <n v="1"/>
    <n v="3"/>
    <n v="2"/>
    <n v="0"/>
    <n v="1"/>
    <x v="1"/>
    <x v="1"/>
    <x v="2"/>
  </r>
  <r>
    <n v="35"/>
    <s v="No"/>
    <s v="Travel_Rarely"/>
    <n v="144"/>
    <x v="1"/>
    <n v="22"/>
    <n v="3"/>
    <s v="Life Sciences"/>
    <n v="1"/>
    <n v="577"/>
    <n v="4"/>
    <x v="1"/>
    <n v="46"/>
    <n v="1"/>
    <n v="1"/>
    <x v="2"/>
    <x v="2"/>
    <s v="Single"/>
    <n v="4230"/>
    <n v="19225"/>
    <n v="0"/>
    <s v="Y"/>
    <s v="No"/>
    <n v="15"/>
    <n v="3"/>
    <n v="3"/>
    <n v="80"/>
    <n v="0"/>
    <n v="6"/>
    <n v="2"/>
    <n v="3"/>
    <n v="5"/>
    <n v="4"/>
    <n v="4"/>
    <n v="3"/>
    <x v="1"/>
    <x v="2"/>
    <x v="2"/>
  </r>
  <r>
    <n v="54"/>
    <s v="No"/>
    <s v="Travel_Rarely"/>
    <n v="548"/>
    <x v="1"/>
    <n v="8"/>
    <n v="4"/>
    <s v="Life Sciences"/>
    <n v="1"/>
    <n v="578"/>
    <n v="3"/>
    <x v="0"/>
    <n v="42"/>
    <n v="3"/>
    <n v="2"/>
    <x v="2"/>
    <x v="2"/>
    <s v="Single"/>
    <n v="3780"/>
    <n v="23428"/>
    <n v="7"/>
    <s v="Y"/>
    <s v="No"/>
    <n v="11"/>
    <n v="3"/>
    <n v="3"/>
    <n v="80"/>
    <n v="0"/>
    <n v="19"/>
    <n v="3"/>
    <n v="3"/>
    <n v="1"/>
    <n v="0"/>
    <n v="0"/>
    <n v="0"/>
    <x v="1"/>
    <x v="1"/>
    <x v="1"/>
  </r>
  <r>
    <n v="34"/>
    <s v="No"/>
    <s v="Travel_Rarely"/>
    <n v="1303"/>
    <x v="1"/>
    <n v="2"/>
    <n v="4"/>
    <s v="Life Sciences"/>
    <n v="1"/>
    <n v="579"/>
    <n v="4"/>
    <x v="1"/>
    <n v="62"/>
    <n v="2"/>
    <n v="1"/>
    <x v="1"/>
    <x v="2"/>
    <s v="Divorced"/>
    <n v="2768"/>
    <n v="8416"/>
    <n v="3"/>
    <s v="Y"/>
    <s v="No"/>
    <n v="12"/>
    <n v="3"/>
    <n v="3"/>
    <n v="80"/>
    <n v="1"/>
    <n v="14"/>
    <n v="3"/>
    <n v="3"/>
    <n v="7"/>
    <n v="3"/>
    <n v="5"/>
    <n v="7"/>
    <x v="1"/>
    <x v="2"/>
    <x v="0"/>
  </r>
  <r>
    <n v="46"/>
    <s v="No"/>
    <s v="Travel_Rarely"/>
    <n v="1125"/>
    <x v="0"/>
    <n v="10"/>
    <n v="3"/>
    <s v="Marketing"/>
    <n v="1"/>
    <n v="580"/>
    <n v="3"/>
    <x v="0"/>
    <n v="94"/>
    <n v="2"/>
    <n v="3"/>
    <x v="0"/>
    <x v="0"/>
    <s v="Married"/>
    <n v="9071"/>
    <n v="11563"/>
    <n v="2"/>
    <s v="Y"/>
    <s v="Yes"/>
    <n v="19"/>
    <n v="3"/>
    <n v="3"/>
    <n v="80"/>
    <n v="1"/>
    <n v="15"/>
    <n v="3"/>
    <n v="3"/>
    <n v="3"/>
    <n v="2"/>
    <n v="1"/>
    <n v="2"/>
    <x v="1"/>
    <x v="1"/>
    <x v="2"/>
  </r>
  <r>
    <n v="31"/>
    <s v="No"/>
    <s v="Travel_Rarely"/>
    <n v="1274"/>
    <x v="1"/>
    <n v="9"/>
    <n v="1"/>
    <s v="Life Sciences"/>
    <n v="1"/>
    <n v="581"/>
    <n v="3"/>
    <x v="1"/>
    <n v="33"/>
    <n v="3"/>
    <n v="3"/>
    <x v="3"/>
    <x v="1"/>
    <s v="Divorced"/>
    <n v="10648"/>
    <n v="14394"/>
    <n v="1"/>
    <s v="Y"/>
    <s v="No"/>
    <n v="25"/>
    <n v="4"/>
    <n v="4"/>
    <n v="80"/>
    <n v="1"/>
    <n v="13"/>
    <n v="6"/>
    <n v="4"/>
    <n v="13"/>
    <n v="8"/>
    <n v="0"/>
    <n v="8"/>
    <x v="1"/>
    <x v="2"/>
    <x v="3"/>
  </r>
  <r>
    <n v="33"/>
    <s v="Yes"/>
    <s v="Travel_Rarely"/>
    <n v="1277"/>
    <x v="1"/>
    <n v="15"/>
    <n v="1"/>
    <s v="Medical"/>
    <n v="1"/>
    <n v="582"/>
    <n v="2"/>
    <x v="1"/>
    <n v="56"/>
    <n v="3"/>
    <n v="3"/>
    <x v="5"/>
    <x v="2"/>
    <s v="Married"/>
    <n v="13610"/>
    <n v="24619"/>
    <n v="7"/>
    <s v="Y"/>
    <s v="Yes"/>
    <n v="12"/>
    <n v="3"/>
    <n v="4"/>
    <n v="80"/>
    <n v="0"/>
    <n v="15"/>
    <n v="2"/>
    <n v="4"/>
    <n v="7"/>
    <n v="6"/>
    <n v="7"/>
    <n v="7"/>
    <x v="0"/>
    <x v="2"/>
    <x v="0"/>
  </r>
  <r>
    <n v="33"/>
    <s v="Yes"/>
    <s v="Travel_Rarely"/>
    <n v="587"/>
    <x v="1"/>
    <n v="10"/>
    <n v="1"/>
    <s v="Medical"/>
    <n v="1"/>
    <n v="584"/>
    <n v="1"/>
    <x v="1"/>
    <n v="38"/>
    <n v="1"/>
    <n v="1"/>
    <x v="2"/>
    <x v="0"/>
    <s v="Divorced"/>
    <n v="3408"/>
    <n v="6705"/>
    <n v="7"/>
    <s v="Y"/>
    <s v="No"/>
    <n v="13"/>
    <n v="3"/>
    <n v="1"/>
    <n v="80"/>
    <n v="3"/>
    <n v="8"/>
    <n v="2"/>
    <n v="3"/>
    <n v="4"/>
    <n v="3"/>
    <n v="1"/>
    <n v="3"/>
    <x v="0"/>
    <x v="2"/>
    <x v="2"/>
  </r>
  <r>
    <n v="30"/>
    <s v="No"/>
    <s v="Travel_Rarely"/>
    <n v="413"/>
    <x v="0"/>
    <n v="7"/>
    <n v="1"/>
    <s v="Marketing"/>
    <n v="1"/>
    <n v="585"/>
    <n v="4"/>
    <x v="1"/>
    <n v="57"/>
    <n v="3"/>
    <n v="1"/>
    <x v="6"/>
    <x v="1"/>
    <s v="Single"/>
    <n v="2983"/>
    <n v="18398"/>
    <n v="0"/>
    <s v="Y"/>
    <s v="No"/>
    <n v="14"/>
    <n v="3"/>
    <n v="1"/>
    <n v="80"/>
    <n v="0"/>
    <n v="4"/>
    <n v="3"/>
    <n v="3"/>
    <n v="3"/>
    <n v="2"/>
    <n v="1"/>
    <n v="2"/>
    <x v="1"/>
    <x v="2"/>
    <x v="2"/>
  </r>
  <r>
    <n v="35"/>
    <s v="No"/>
    <s v="Travel_Rarely"/>
    <n v="1276"/>
    <x v="1"/>
    <n v="16"/>
    <n v="3"/>
    <s v="Life Sciences"/>
    <n v="1"/>
    <n v="586"/>
    <n v="4"/>
    <x v="1"/>
    <n v="72"/>
    <n v="3"/>
    <n v="3"/>
    <x v="4"/>
    <x v="2"/>
    <s v="Married"/>
    <n v="7632"/>
    <n v="14295"/>
    <n v="4"/>
    <s v="Y"/>
    <s v="Yes"/>
    <n v="12"/>
    <n v="3"/>
    <n v="3"/>
    <n v="80"/>
    <n v="0"/>
    <n v="10"/>
    <n v="2"/>
    <n v="3"/>
    <n v="8"/>
    <n v="7"/>
    <n v="0"/>
    <n v="0"/>
    <x v="1"/>
    <x v="2"/>
    <x v="0"/>
  </r>
  <r>
    <n v="31"/>
    <s v="Yes"/>
    <s v="Travel_Frequently"/>
    <n v="534"/>
    <x v="1"/>
    <n v="20"/>
    <n v="3"/>
    <s v="Life Sciences"/>
    <n v="1"/>
    <n v="587"/>
    <n v="1"/>
    <x v="1"/>
    <n v="66"/>
    <n v="3"/>
    <n v="3"/>
    <x v="4"/>
    <x v="2"/>
    <s v="Married"/>
    <n v="9824"/>
    <n v="22908"/>
    <n v="3"/>
    <s v="Y"/>
    <s v="No"/>
    <n v="12"/>
    <n v="3"/>
    <n v="1"/>
    <n v="80"/>
    <n v="0"/>
    <n v="12"/>
    <n v="2"/>
    <n v="3"/>
    <n v="1"/>
    <n v="0"/>
    <n v="0"/>
    <n v="0"/>
    <x v="0"/>
    <x v="2"/>
    <x v="1"/>
  </r>
  <r>
    <n v="34"/>
    <s v="Yes"/>
    <s v="Travel_Frequently"/>
    <n v="988"/>
    <x v="2"/>
    <n v="23"/>
    <n v="3"/>
    <s v="Human Resources"/>
    <n v="1"/>
    <n v="590"/>
    <n v="2"/>
    <x v="0"/>
    <n v="43"/>
    <n v="3"/>
    <n v="3"/>
    <x v="8"/>
    <x v="3"/>
    <s v="Divorced"/>
    <n v="9950"/>
    <n v="11533"/>
    <n v="9"/>
    <s v="Y"/>
    <s v="Yes"/>
    <n v="15"/>
    <n v="3"/>
    <n v="3"/>
    <n v="80"/>
    <n v="3"/>
    <n v="11"/>
    <n v="2"/>
    <n v="3"/>
    <n v="3"/>
    <n v="2"/>
    <n v="0"/>
    <n v="2"/>
    <x v="0"/>
    <x v="2"/>
    <x v="2"/>
  </r>
  <r>
    <n v="42"/>
    <s v="No"/>
    <s v="Travel_Frequently"/>
    <n v="1474"/>
    <x v="1"/>
    <n v="5"/>
    <n v="2"/>
    <s v="Other"/>
    <n v="1"/>
    <n v="591"/>
    <n v="2"/>
    <x v="1"/>
    <n v="97"/>
    <n v="3"/>
    <n v="1"/>
    <x v="2"/>
    <x v="2"/>
    <s v="Married"/>
    <n v="2093"/>
    <n v="9260"/>
    <n v="4"/>
    <s v="Y"/>
    <s v="No"/>
    <n v="17"/>
    <n v="3"/>
    <n v="4"/>
    <n v="80"/>
    <n v="1"/>
    <n v="8"/>
    <n v="4"/>
    <n v="3"/>
    <n v="2"/>
    <n v="2"/>
    <n v="2"/>
    <n v="0"/>
    <x v="1"/>
    <x v="0"/>
    <x v="1"/>
  </r>
  <r>
    <n v="36"/>
    <s v="No"/>
    <s v="Non-Travel"/>
    <n v="635"/>
    <x v="0"/>
    <n v="10"/>
    <n v="4"/>
    <s v="Medical"/>
    <n v="1"/>
    <n v="592"/>
    <n v="2"/>
    <x v="1"/>
    <n v="32"/>
    <n v="3"/>
    <n v="3"/>
    <x v="0"/>
    <x v="0"/>
    <s v="Single"/>
    <n v="9980"/>
    <n v="15318"/>
    <n v="1"/>
    <s v="Y"/>
    <s v="No"/>
    <n v="14"/>
    <n v="3"/>
    <n v="4"/>
    <n v="80"/>
    <n v="0"/>
    <n v="10"/>
    <n v="3"/>
    <n v="2"/>
    <n v="10"/>
    <n v="3"/>
    <n v="9"/>
    <n v="7"/>
    <x v="1"/>
    <x v="0"/>
    <x v="0"/>
  </r>
  <r>
    <n v="22"/>
    <s v="Yes"/>
    <s v="Travel_Frequently"/>
    <n v="1368"/>
    <x v="1"/>
    <n v="4"/>
    <n v="1"/>
    <s v="Technical Degree"/>
    <n v="1"/>
    <n v="593"/>
    <n v="3"/>
    <x v="1"/>
    <n v="99"/>
    <n v="2"/>
    <n v="1"/>
    <x v="2"/>
    <x v="2"/>
    <s v="Single"/>
    <n v="3894"/>
    <n v="9129"/>
    <n v="5"/>
    <s v="Y"/>
    <s v="No"/>
    <n v="16"/>
    <n v="3"/>
    <n v="3"/>
    <n v="80"/>
    <n v="0"/>
    <n v="4"/>
    <n v="3"/>
    <n v="3"/>
    <n v="2"/>
    <n v="2"/>
    <n v="1"/>
    <n v="2"/>
    <x v="0"/>
    <x v="3"/>
    <x v="1"/>
  </r>
  <r>
    <n v="48"/>
    <s v="No"/>
    <s v="Travel_Rarely"/>
    <n v="163"/>
    <x v="0"/>
    <n v="2"/>
    <n v="5"/>
    <s v="Marketing"/>
    <n v="1"/>
    <n v="595"/>
    <n v="2"/>
    <x v="0"/>
    <n v="37"/>
    <n v="3"/>
    <n v="2"/>
    <x v="0"/>
    <x v="0"/>
    <s v="Married"/>
    <n v="4051"/>
    <n v="19658"/>
    <n v="2"/>
    <s v="Y"/>
    <s v="No"/>
    <n v="14"/>
    <n v="3"/>
    <n v="1"/>
    <n v="80"/>
    <n v="1"/>
    <n v="14"/>
    <n v="2"/>
    <n v="3"/>
    <n v="9"/>
    <n v="7"/>
    <n v="6"/>
    <n v="7"/>
    <x v="1"/>
    <x v="1"/>
    <x v="0"/>
  </r>
  <r>
    <n v="55"/>
    <s v="No"/>
    <s v="Travel_Rarely"/>
    <n v="1117"/>
    <x v="0"/>
    <n v="18"/>
    <n v="5"/>
    <s v="Life Sciences"/>
    <n v="1"/>
    <n v="597"/>
    <n v="1"/>
    <x v="0"/>
    <n v="83"/>
    <n v="3"/>
    <n v="4"/>
    <x v="5"/>
    <x v="1"/>
    <s v="Single"/>
    <n v="16835"/>
    <n v="9873"/>
    <n v="3"/>
    <s v="Y"/>
    <s v="No"/>
    <n v="23"/>
    <n v="4"/>
    <n v="4"/>
    <n v="80"/>
    <n v="0"/>
    <n v="37"/>
    <n v="2"/>
    <n v="3"/>
    <n v="10"/>
    <n v="9"/>
    <n v="7"/>
    <n v="7"/>
    <x v="1"/>
    <x v="1"/>
    <x v="0"/>
  </r>
  <r>
    <n v="41"/>
    <s v="No"/>
    <s v="Non-Travel"/>
    <n v="267"/>
    <x v="0"/>
    <n v="10"/>
    <n v="2"/>
    <s v="Life Sciences"/>
    <n v="1"/>
    <n v="599"/>
    <n v="4"/>
    <x v="1"/>
    <n v="56"/>
    <n v="3"/>
    <n v="2"/>
    <x v="0"/>
    <x v="0"/>
    <s v="Single"/>
    <n v="6230"/>
    <n v="13430"/>
    <n v="7"/>
    <s v="Y"/>
    <s v="No"/>
    <n v="14"/>
    <n v="3"/>
    <n v="4"/>
    <n v="80"/>
    <n v="0"/>
    <n v="16"/>
    <n v="3"/>
    <n v="3"/>
    <n v="14"/>
    <n v="3"/>
    <n v="1"/>
    <n v="10"/>
    <x v="1"/>
    <x v="0"/>
    <x v="3"/>
  </r>
  <r>
    <n v="35"/>
    <s v="No"/>
    <s v="Travel_Rarely"/>
    <n v="619"/>
    <x v="0"/>
    <n v="1"/>
    <n v="3"/>
    <s v="Marketing"/>
    <n v="1"/>
    <n v="600"/>
    <n v="2"/>
    <x v="1"/>
    <n v="85"/>
    <n v="3"/>
    <n v="2"/>
    <x v="0"/>
    <x v="2"/>
    <s v="Married"/>
    <n v="4717"/>
    <n v="18659"/>
    <n v="9"/>
    <s v="Y"/>
    <s v="No"/>
    <n v="11"/>
    <n v="3"/>
    <n v="3"/>
    <n v="80"/>
    <n v="0"/>
    <n v="15"/>
    <n v="2"/>
    <n v="3"/>
    <n v="11"/>
    <n v="9"/>
    <n v="6"/>
    <n v="9"/>
    <x v="1"/>
    <x v="2"/>
    <x v="3"/>
  </r>
  <r>
    <n v="40"/>
    <s v="No"/>
    <s v="Travel_Rarely"/>
    <n v="302"/>
    <x v="1"/>
    <n v="6"/>
    <n v="3"/>
    <s v="Life Sciences"/>
    <n v="1"/>
    <n v="601"/>
    <n v="2"/>
    <x v="0"/>
    <n v="75"/>
    <n v="3"/>
    <n v="4"/>
    <x v="3"/>
    <x v="2"/>
    <s v="Single"/>
    <n v="13237"/>
    <n v="20364"/>
    <n v="7"/>
    <s v="Y"/>
    <s v="No"/>
    <n v="15"/>
    <n v="3"/>
    <n v="3"/>
    <n v="80"/>
    <n v="0"/>
    <n v="22"/>
    <n v="3"/>
    <n v="3"/>
    <n v="20"/>
    <n v="6"/>
    <n v="5"/>
    <n v="13"/>
    <x v="1"/>
    <x v="0"/>
    <x v="3"/>
  </r>
  <r>
    <n v="39"/>
    <s v="No"/>
    <s v="Travel_Frequently"/>
    <n v="443"/>
    <x v="1"/>
    <n v="8"/>
    <n v="1"/>
    <s v="Life Sciences"/>
    <n v="1"/>
    <n v="602"/>
    <n v="3"/>
    <x v="0"/>
    <n v="48"/>
    <n v="3"/>
    <n v="1"/>
    <x v="2"/>
    <x v="2"/>
    <s v="Married"/>
    <n v="3755"/>
    <n v="17872"/>
    <n v="1"/>
    <s v="Y"/>
    <s v="No"/>
    <n v="11"/>
    <n v="3"/>
    <n v="1"/>
    <n v="80"/>
    <n v="1"/>
    <n v="8"/>
    <n v="3"/>
    <n v="3"/>
    <n v="8"/>
    <n v="3"/>
    <n v="0"/>
    <n v="7"/>
    <x v="1"/>
    <x v="0"/>
    <x v="0"/>
  </r>
  <r>
    <n v="31"/>
    <s v="No"/>
    <s v="Travel_Rarely"/>
    <n v="828"/>
    <x v="0"/>
    <n v="2"/>
    <n v="1"/>
    <s v="Life Sciences"/>
    <n v="1"/>
    <n v="604"/>
    <n v="2"/>
    <x v="1"/>
    <n v="77"/>
    <n v="3"/>
    <n v="2"/>
    <x v="0"/>
    <x v="0"/>
    <s v="Single"/>
    <n v="6582"/>
    <n v="8346"/>
    <n v="4"/>
    <s v="Y"/>
    <s v="Yes"/>
    <n v="13"/>
    <n v="3"/>
    <n v="3"/>
    <n v="80"/>
    <n v="0"/>
    <n v="10"/>
    <n v="2"/>
    <n v="4"/>
    <n v="6"/>
    <n v="5"/>
    <n v="0"/>
    <n v="5"/>
    <x v="1"/>
    <x v="2"/>
    <x v="0"/>
  </r>
  <r>
    <n v="42"/>
    <s v="No"/>
    <s v="Travel_Rarely"/>
    <n v="319"/>
    <x v="1"/>
    <n v="24"/>
    <n v="3"/>
    <s v="Medical"/>
    <n v="1"/>
    <n v="605"/>
    <n v="4"/>
    <x v="1"/>
    <n v="56"/>
    <n v="3"/>
    <n v="3"/>
    <x v="3"/>
    <x v="3"/>
    <s v="Married"/>
    <n v="7406"/>
    <n v="6950"/>
    <n v="1"/>
    <s v="Y"/>
    <s v="Yes"/>
    <n v="21"/>
    <n v="4"/>
    <n v="4"/>
    <n v="80"/>
    <n v="1"/>
    <n v="10"/>
    <n v="5"/>
    <n v="2"/>
    <n v="10"/>
    <n v="9"/>
    <n v="5"/>
    <n v="8"/>
    <x v="1"/>
    <x v="0"/>
    <x v="0"/>
  </r>
  <r>
    <n v="45"/>
    <s v="No"/>
    <s v="Travel_Rarely"/>
    <n v="561"/>
    <x v="0"/>
    <n v="2"/>
    <n v="3"/>
    <s v="Other"/>
    <n v="1"/>
    <n v="606"/>
    <n v="4"/>
    <x v="1"/>
    <n v="61"/>
    <n v="3"/>
    <n v="2"/>
    <x v="0"/>
    <x v="1"/>
    <s v="Married"/>
    <n v="4805"/>
    <n v="16177"/>
    <n v="0"/>
    <s v="Y"/>
    <s v="No"/>
    <n v="19"/>
    <n v="3"/>
    <n v="2"/>
    <n v="80"/>
    <n v="1"/>
    <n v="9"/>
    <n v="3"/>
    <n v="4"/>
    <n v="8"/>
    <n v="7"/>
    <n v="3"/>
    <n v="7"/>
    <x v="1"/>
    <x v="0"/>
    <x v="0"/>
  </r>
  <r>
    <n v="26"/>
    <s v="Yes"/>
    <s v="Travel_Frequently"/>
    <n v="426"/>
    <x v="2"/>
    <n v="17"/>
    <n v="4"/>
    <s v="Life Sciences"/>
    <n v="1"/>
    <n v="608"/>
    <n v="2"/>
    <x v="0"/>
    <n v="58"/>
    <n v="3"/>
    <n v="1"/>
    <x v="8"/>
    <x v="2"/>
    <s v="Divorced"/>
    <n v="2741"/>
    <n v="22808"/>
    <n v="0"/>
    <s v="Y"/>
    <s v="Yes"/>
    <n v="11"/>
    <n v="3"/>
    <n v="2"/>
    <n v="80"/>
    <n v="1"/>
    <n v="8"/>
    <n v="2"/>
    <n v="2"/>
    <n v="7"/>
    <n v="7"/>
    <n v="1"/>
    <n v="0"/>
    <x v="0"/>
    <x v="2"/>
    <x v="0"/>
  </r>
  <r>
    <n v="29"/>
    <s v="No"/>
    <s v="Travel_Rarely"/>
    <n v="232"/>
    <x v="1"/>
    <n v="19"/>
    <n v="3"/>
    <s v="Technical Degree"/>
    <n v="1"/>
    <n v="611"/>
    <n v="4"/>
    <x v="1"/>
    <n v="34"/>
    <n v="3"/>
    <n v="2"/>
    <x v="3"/>
    <x v="0"/>
    <s v="Divorced"/>
    <n v="4262"/>
    <n v="22645"/>
    <n v="4"/>
    <s v="Y"/>
    <s v="No"/>
    <n v="12"/>
    <n v="3"/>
    <n v="2"/>
    <n v="80"/>
    <n v="2"/>
    <n v="8"/>
    <n v="2"/>
    <n v="4"/>
    <n v="3"/>
    <n v="2"/>
    <n v="1"/>
    <n v="2"/>
    <x v="1"/>
    <x v="2"/>
    <x v="2"/>
  </r>
  <r>
    <n v="33"/>
    <s v="No"/>
    <s v="Travel_Rarely"/>
    <n v="922"/>
    <x v="1"/>
    <n v="1"/>
    <n v="5"/>
    <s v="Medical"/>
    <n v="1"/>
    <n v="612"/>
    <n v="1"/>
    <x v="0"/>
    <n v="95"/>
    <n v="4"/>
    <n v="4"/>
    <x v="7"/>
    <x v="2"/>
    <s v="Divorced"/>
    <n v="16184"/>
    <n v="22578"/>
    <n v="4"/>
    <s v="Y"/>
    <s v="No"/>
    <n v="19"/>
    <n v="3"/>
    <n v="3"/>
    <n v="80"/>
    <n v="1"/>
    <n v="10"/>
    <n v="2"/>
    <n v="3"/>
    <n v="6"/>
    <n v="1"/>
    <n v="0"/>
    <n v="5"/>
    <x v="1"/>
    <x v="2"/>
    <x v="0"/>
  </r>
  <r>
    <n v="31"/>
    <s v="No"/>
    <s v="Travel_Rarely"/>
    <n v="688"/>
    <x v="0"/>
    <n v="7"/>
    <n v="3"/>
    <s v="Life Sciences"/>
    <n v="1"/>
    <n v="613"/>
    <n v="3"/>
    <x v="1"/>
    <n v="44"/>
    <n v="2"/>
    <n v="3"/>
    <x v="5"/>
    <x v="0"/>
    <s v="Divorced"/>
    <n v="11557"/>
    <n v="25291"/>
    <n v="9"/>
    <s v="Y"/>
    <s v="No"/>
    <n v="21"/>
    <n v="4"/>
    <n v="3"/>
    <n v="80"/>
    <n v="1"/>
    <n v="10"/>
    <n v="3"/>
    <n v="2"/>
    <n v="5"/>
    <n v="4"/>
    <n v="0"/>
    <n v="1"/>
    <x v="1"/>
    <x v="2"/>
    <x v="2"/>
  </r>
  <r>
    <n v="18"/>
    <s v="Yes"/>
    <s v="Travel_Frequently"/>
    <n v="1306"/>
    <x v="0"/>
    <n v="5"/>
    <n v="3"/>
    <s v="Marketing"/>
    <n v="1"/>
    <n v="614"/>
    <n v="2"/>
    <x v="1"/>
    <n v="69"/>
    <n v="3"/>
    <n v="1"/>
    <x v="6"/>
    <x v="1"/>
    <s v="Single"/>
    <n v="1878"/>
    <n v="8059"/>
    <n v="1"/>
    <s v="Y"/>
    <s v="Yes"/>
    <n v="14"/>
    <n v="3"/>
    <n v="4"/>
    <n v="80"/>
    <n v="0"/>
    <n v="0"/>
    <n v="3"/>
    <n v="3"/>
    <n v="0"/>
    <n v="0"/>
    <n v="0"/>
    <n v="0"/>
    <x v="0"/>
    <x v="3"/>
    <x v="1"/>
  </r>
  <r>
    <n v="40"/>
    <s v="No"/>
    <s v="Non-Travel"/>
    <n v="1094"/>
    <x v="0"/>
    <n v="28"/>
    <n v="3"/>
    <s v="Other"/>
    <n v="1"/>
    <n v="615"/>
    <n v="3"/>
    <x v="1"/>
    <n v="58"/>
    <n v="1"/>
    <n v="3"/>
    <x v="0"/>
    <x v="3"/>
    <s v="Divorced"/>
    <n v="10932"/>
    <n v="11373"/>
    <n v="3"/>
    <s v="Y"/>
    <s v="No"/>
    <n v="15"/>
    <n v="3"/>
    <n v="3"/>
    <n v="80"/>
    <n v="1"/>
    <n v="20"/>
    <n v="2"/>
    <n v="3"/>
    <n v="1"/>
    <n v="0"/>
    <n v="0"/>
    <n v="1"/>
    <x v="1"/>
    <x v="0"/>
    <x v="1"/>
  </r>
  <r>
    <n v="41"/>
    <s v="No"/>
    <s v="Non-Travel"/>
    <n v="509"/>
    <x v="1"/>
    <n v="2"/>
    <n v="4"/>
    <s v="Other"/>
    <n v="1"/>
    <n v="616"/>
    <n v="1"/>
    <x v="0"/>
    <n v="62"/>
    <n v="2"/>
    <n v="2"/>
    <x v="4"/>
    <x v="2"/>
    <s v="Single"/>
    <n v="6811"/>
    <n v="2112"/>
    <n v="2"/>
    <s v="Y"/>
    <s v="Yes"/>
    <n v="17"/>
    <n v="3"/>
    <n v="1"/>
    <n v="80"/>
    <n v="0"/>
    <n v="10"/>
    <n v="3"/>
    <n v="3"/>
    <n v="8"/>
    <n v="7"/>
    <n v="0"/>
    <n v="7"/>
    <x v="1"/>
    <x v="0"/>
    <x v="0"/>
  </r>
  <r>
    <n v="26"/>
    <s v="No"/>
    <s v="Travel_Rarely"/>
    <n v="775"/>
    <x v="0"/>
    <n v="29"/>
    <n v="2"/>
    <s v="Medical"/>
    <n v="1"/>
    <n v="618"/>
    <n v="1"/>
    <x v="1"/>
    <n v="45"/>
    <n v="3"/>
    <n v="2"/>
    <x v="0"/>
    <x v="2"/>
    <s v="Divorced"/>
    <n v="4306"/>
    <n v="4267"/>
    <n v="5"/>
    <s v="Y"/>
    <s v="No"/>
    <n v="12"/>
    <n v="3"/>
    <n v="1"/>
    <n v="80"/>
    <n v="2"/>
    <n v="8"/>
    <n v="5"/>
    <n v="3"/>
    <n v="0"/>
    <n v="0"/>
    <n v="0"/>
    <n v="0"/>
    <x v="1"/>
    <x v="2"/>
    <x v="1"/>
  </r>
  <r>
    <n v="35"/>
    <s v="No"/>
    <s v="Travel_Rarely"/>
    <n v="195"/>
    <x v="0"/>
    <n v="1"/>
    <n v="3"/>
    <s v="Medical"/>
    <n v="1"/>
    <n v="620"/>
    <n v="1"/>
    <x v="0"/>
    <n v="80"/>
    <n v="3"/>
    <n v="2"/>
    <x v="0"/>
    <x v="2"/>
    <s v="Single"/>
    <n v="4859"/>
    <n v="6698"/>
    <n v="1"/>
    <s v="Y"/>
    <s v="No"/>
    <n v="16"/>
    <n v="3"/>
    <n v="4"/>
    <n v="80"/>
    <n v="0"/>
    <n v="5"/>
    <n v="3"/>
    <n v="3"/>
    <n v="5"/>
    <n v="4"/>
    <n v="0"/>
    <n v="3"/>
    <x v="1"/>
    <x v="2"/>
    <x v="2"/>
  </r>
  <r>
    <n v="34"/>
    <s v="No"/>
    <s v="Travel_Rarely"/>
    <n v="258"/>
    <x v="0"/>
    <n v="21"/>
    <n v="4"/>
    <s v="Life Sciences"/>
    <n v="1"/>
    <n v="621"/>
    <n v="4"/>
    <x v="1"/>
    <n v="74"/>
    <n v="4"/>
    <n v="2"/>
    <x v="0"/>
    <x v="0"/>
    <s v="Single"/>
    <n v="5337"/>
    <n v="19921"/>
    <n v="1"/>
    <s v="Y"/>
    <s v="No"/>
    <n v="12"/>
    <n v="3"/>
    <n v="4"/>
    <n v="80"/>
    <n v="0"/>
    <n v="10"/>
    <n v="3"/>
    <n v="3"/>
    <n v="10"/>
    <n v="7"/>
    <n v="5"/>
    <n v="7"/>
    <x v="1"/>
    <x v="2"/>
    <x v="0"/>
  </r>
  <r>
    <n v="26"/>
    <s v="Yes"/>
    <s v="Travel_Rarely"/>
    <n v="471"/>
    <x v="1"/>
    <n v="24"/>
    <n v="3"/>
    <s v="Technical Degree"/>
    <n v="1"/>
    <n v="622"/>
    <n v="3"/>
    <x v="1"/>
    <n v="66"/>
    <n v="1"/>
    <n v="1"/>
    <x v="2"/>
    <x v="0"/>
    <s v="Single"/>
    <n v="2340"/>
    <n v="23213"/>
    <n v="1"/>
    <s v="Y"/>
    <s v="Yes"/>
    <n v="18"/>
    <n v="3"/>
    <n v="2"/>
    <n v="80"/>
    <n v="0"/>
    <n v="1"/>
    <n v="3"/>
    <n v="1"/>
    <n v="1"/>
    <n v="0"/>
    <n v="0"/>
    <n v="0"/>
    <x v="0"/>
    <x v="2"/>
    <x v="1"/>
  </r>
  <r>
    <n v="37"/>
    <s v="No"/>
    <s v="Travel_Rarely"/>
    <n v="799"/>
    <x v="1"/>
    <n v="1"/>
    <n v="3"/>
    <s v="Technical Degree"/>
    <n v="1"/>
    <n v="623"/>
    <n v="2"/>
    <x v="0"/>
    <n v="59"/>
    <n v="3"/>
    <n v="3"/>
    <x v="3"/>
    <x v="0"/>
    <s v="Single"/>
    <n v="7491"/>
    <n v="23848"/>
    <n v="4"/>
    <s v="Y"/>
    <s v="No"/>
    <n v="17"/>
    <n v="3"/>
    <n v="4"/>
    <n v="80"/>
    <n v="0"/>
    <n v="12"/>
    <n v="3"/>
    <n v="4"/>
    <n v="6"/>
    <n v="5"/>
    <n v="1"/>
    <n v="2"/>
    <x v="1"/>
    <x v="0"/>
    <x v="0"/>
  </r>
  <r>
    <n v="46"/>
    <s v="No"/>
    <s v="Travel_Frequently"/>
    <n v="1034"/>
    <x v="1"/>
    <n v="18"/>
    <n v="1"/>
    <s v="Medical"/>
    <n v="1"/>
    <n v="624"/>
    <n v="1"/>
    <x v="0"/>
    <n v="86"/>
    <n v="3"/>
    <n v="3"/>
    <x v="4"/>
    <x v="2"/>
    <s v="Married"/>
    <n v="10527"/>
    <n v="8984"/>
    <n v="5"/>
    <s v="Y"/>
    <s v="No"/>
    <n v="11"/>
    <n v="3"/>
    <n v="4"/>
    <n v="80"/>
    <n v="0"/>
    <n v="28"/>
    <n v="3"/>
    <n v="2"/>
    <n v="2"/>
    <n v="2"/>
    <n v="1"/>
    <n v="2"/>
    <x v="1"/>
    <x v="1"/>
    <x v="1"/>
  </r>
  <r>
    <n v="41"/>
    <s v="No"/>
    <s v="Travel_Rarely"/>
    <n v="1276"/>
    <x v="0"/>
    <n v="2"/>
    <n v="5"/>
    <s v="Life Sciences"/>
    <n v="1"/>
    <n v="625"/>
    <n v="2"/>
    <x v="0"/>
    <n v="91"/>
    <n v="3"/>
    <n v="4"/>
    <x v="5"/>
    <x v="3"/>
    <s v="Married"/>
    <n v="16595"/>
    <n v="5626"/>
    <n v="7"/>
    <s v="Y"/>
    <s v="No"/>
    <n v="16"/>
    <n v="3"/>
    <n v="2"/>
    <n v="80"/>
    <n v="1"/>
    <n v="22"/>
    <n v="2"/>
    <n v="3"/>
    <n v="18"/>
    <n v="16"/>
    <n v="11"/>
    <n v="8"/>
    <x v="1"/>
    <x v="0"/>
    <x v="3"/>
  </r>
  <r>
    <n v="37"/>
    <s v="No"/>
    <s v="Non-Travel"/>
    <n v="142"/>
    <x v="0"/>
    <n v="9"/>
    <n v="4"/>
    <s v="Medical"/>
    <n v="1"/>
    <n v="626"/>
    <n v="1"/>
    <x v="1"/>
    <n v="69"/>
    <n v="3"/>
    <n v="3"/>
    <x v="0"/>
    <x v="1"/>
    <s v="Divorced"/>
    <n v="8834"/>
    <n v="24666"/>
    <n v="1"/>
    <s v="Y"/>
    <s v="No"/>
    <n v="13"/>
    <n v="3"/>
    <n v="4"/>
    <n v="80"/>
    <n v="1"/>
    <n v="9"/>
    <n v="6"/>
    <n v="3"/>
    <n v="9"/>
    <n v="5"/>
    <n v="7"/>
    <n v="7"/>
    <x v="1"/>
    <x v="0"/>
    <x v="0"/>
  </r>
  <r>
    <n v="52"/>
    <s v="No"/>
    <s v="Travel_Rarely"/>
    <n v="956"/>
    <x v="1"/>
    <n v="6"/>
    <n v="2"/>
    <s v="Technical Degree"/>
    <n v="1"/>
    <n v="630"/>
    <n v="4"/>
    <x v="1"/>
    <n v="78"/>
    <n v="3"/>
    <n v="2"/>
    <x v="1"/>
    <x v="3"/>
    <s v="Divorced"/>
    <n v="5577"/>
    <n v="22087"/>
    <n v="3"/>
    <s v="Y"/>
    <s v="Yes"/>
    <n v="12"/>
    <n v="3"/>
    <n v="2"/>
    <n v="80"/>
    <n v="2"/>
    <n v="18"/>
    <n v="3"/>
    <n v="3"/>
    <n v="10"/>
    <n v="9"/>
    <n v="6"/>
    <n v="9"/>
    <x v="1"/>
    <x v="1"/>
    <x v="0"/>
  </r>
  <r>
    <n v="32"/>
    <s v="Yes"/>
    <s v="Non-Travel"/>
    <n v="1474"/>
    <x v="0"/>
    <n v="11"/>
    <n v="4"/>
    <s v="Other"/>
    <n v="1"/>
    <n v="631"/>
    <n v="4"/>
    <x v="1"/>
    <n v="60"/>
    <n v="4"/>
    <n v="2"/>
    <x v="0"/>
    <x v="2"/>
    <s v="Married"/>
    <n v="4707"/>
    <n v="23914"/>
    <n v="8"/>
    <s v="Y"/>
    <s v="No"/>
    <n v="12"/>
    <n v="3"/>
    <n v="4"/>
    <n v="80"/>
    <n v="0"/>
    <n v="6"/>
    <n v="2"/>
    <n v="3"/>
    <n v="4"/>
    <n v="2"/>
    <n v="1"/>
    <n v="2"/>
    <x v="0"/>
    <x v="2"/>
    <x v="2"/>
  </r>
  <r>
    <n v="24"/>
    <s v="No"/>
    <s v="Travel_Frequently"/>
    <n v="535"/>
    <x v="0"/>
    <n v="24"/>
    <n v="3"/>
    <s v="Medical"/>
    <n v="1"/>
    <n v="632"/>
    <n v="4"/>
    <x v="1"/>
    <n v="38"/>
    <n v="3"/>
    <n v="1"/>
    <x v="6"/>
    <x v="0"/>
    <s v="Married"/>
    <n v="2400"/>
    <n v="5530"/>
    <n v="0"/>
    <s v="Y"/>
    <s v="No"/>
    <n v="13"/>
    <n v="3"/>
    <n v="3"/>
    <n v="80"/>
    <n v="2"/>
    <n v="3"/>
    <n v="3"/>
    <n v="3"/>
    <n v="2"/>
    <n v="2"/>
    <n v="2"/>
    <n v="1"/>
    <x v="1"/>
    <x v="3"/>
    <x v="1"/>
  </r>
  <r>
    <n v="38"/>
    <s v="No"/>
    <s v="Travel_Rarely"/>
    <n v="1495"/>
    <x v="1"/>
    <n v="10"/>
    <n v="3"/>
    <s v="Medical"/>
    <n v="1"/>
    <n v="634"/>
    <n v="3"/>
    <x v="0"/>
    <n v="76"/>
    <n v="3"/>
    <n v="2"/>
    <x v="4"/>
    <x v="2"/>
    <s v="Married"/>
    <n v="9824"/>
    <n v="22174"/>
    <n v="3"/>
    <s v="Y"/>
    <s v="No"/>
    <n v="19"/>
    <n v="3"/>
    <n v="3"/>
    <n v="80"/>
    <n v="1"/>
    <n v="18"/>
    <n v="4"/>
    <n v="3"/>
    <n v="1"/>
    <n v="0"/>
    <n v="0"/>
    <n v="0"/>
    <x v="1"/>
    <x v="0"/>
    <x v="1"/>
  </r>
  <r>
    <n v="37"/>
    <s v="No"/>
    <s v="Travel_Rarely"/>
    <n v="446"/>
    <x v="1"/>
    <n v="1"/>
    <n v="4"/>
    <s v="Life Sciences"/>
    <n v="1"/>
    <n v="635"/>
    <n v="2"/>
    <x v="0"/>
    <n v="65"/>
    <n v="3"/>
    <n v="2"/>
    <x v="3"/>
    <x v="1"/>
    <s v="Married"/>
    <n v="6447"/>
    <n v="15701"/>
    <n v="6"/>
    <s v="Y"/>
    <s v="No"/>
    <n v="12"/>
    <n v="3"/>
    <n v="2"/>
    <n v="80"/>
    <n v="1"/>
    <n v="8"/>
    <n v="2"/>
    <n v="2"/>
    <n v="6"/>
    <n v="5"/>
    <n v="4"/>
    <n v="3"/>
    <x v="1"/>
    <x v="0"/>
    <x v="0"/>
  </r>
  <r>
    <n v="49"/>
    <s v="No"/>
    <s v="Travel_Rarely"/>
    <n v="1245"/>
    <x v="1"/>
    <n v="18"/>
    <n v="4"/>
    <s v="Life Sciences"/>
    <n v="1"/>
    <n v="638"/>
    <n v="4"/>
    <x v="1"/>
    <n v="58"/>
    <n v="2"/>
    <n v="5"/>
    <x v="7"/>
    <x v="2"/>
    <s v="Divorced"/>
    <n v="19502"/>
    <n v="2125"/>
    <n v="1"/>
    <s v="Y"/>
    <s v="Yes"/>
    <n v="17"/>
    <n v="3"/>
    <n v="3"/>
    <n v="80"/>
    <n v="1"/>
    <n v="31"/>
    <n v="5"/>
    <n v="3"/>
    <n v="31"/>
    <n v="9"/>
    <n v="0"/>
    <n v="9"/>
    <x v="1"/>
    <x v="1"/>
    <x v="3"/>
  </r>
  <r>
    <n v="24"/>
    <s v="No"/>
    <s v="Travel_Rarely"/>
    <n v="691"/>
    <x v="1"/>
    <n v="23"/>
    <n v="3"/>
    <s v="Medical"/>
    <n v="1"/>
    <n v="639"/>
    <n v="2"/>
    <x v="1"/>
    <n v="89"/>
    <n v="4"/>
    <n v="1"/>
    <x v="1"/>
    <x v="0"/>
    <s v="Married"/>
    <n v="2725"/>
    <n v="21630"/>
    <n v="1"/>
    <s v="Y"/>
    <s v="Yes"/>
    <n v="11"/>
    <n v="3"/>
    <n v="2"/>
    <n v="80"/>
    <n v="2"/>
    <n v="6"/>
    <n v="3"/>
    <n v="3"/>
    <n v="6"/>
    <n v="5"/>
    <n v="1"/>
    <n v="4"/>
    <x v="1"/>
    <x v="3"/>
    <x v="0"/>
  </r>
  <r>
    <n v="26"/>
    <s v="No"/>
    <s v="Travel_Rarely"/>
    <n v="703"/>
    <x v="0"/>
    <n v="28"/>
    <n v="2"/>
    <s v="Marketing"/>
    <n v="1"/>
    <n v="641"/>
    <n v="1"/>
    <x v="1"/>
    <n v="66"/>
    <n v="3"/>
    <n v="2"/>
    <x v="0"/>
    <x v="1"/>
    <s v="Married"/>
    <n v="6272"/>
    <n v="7428"/>
    <n v="1"/>
    <s v="Y"/>
    <s v="No"/>
    <n v="20"/>
    <n v="4"/>
    <n v="4"/>
    <n v="80"/>
    <n v="2"/>
    <n v="6"/>
    <n v="5"/>
    <n v="4"/>
    <n v="5"/>
    <n v="3"/>
    <n v="1"/>
    <n v="4"/>
    <x v="1"/>
    <x v="2"/>
    <x v="2"/>
  </r>
  <r>
    <n v="24"/>
    <s v="No"/>
    <s v="Travel_Rarely"/>
    <n v="823"/>
    <x v="1"/>
    <n v="17"/>
    <n v="2"/>
    <s v="Other"/>
    <n v="1"/>
    <n v="643"/>
    <n v="4"/>
    <x v="1"/>
    <n v="94"/>
    <n v="2"/>
    <n v="1"/>
    <x v="2"/>
    <x v="1"/>
    <s v="Married"/>
    <n v="2127"/>
    <n v="9100"/>
    <n v="1"/>
    <s v="Y"/>
    <s v="No"/>
    <n v="21"/>
    <n v="4"/>
    <n v="4"/>
    <n v="80"/>
    <n v="1"/>
    <n v="1"/>
    <n v="2"/>
    <n v="3"/>
    <n v="1"/>
    <n v="0"/>
    <n v="0"/>
    <n v="0"/>
    <x v="1"/>
    <x v="3"/>
    <x v="1"/>
  </r>
  <r>
    <n v="50"/>
    <s v="No"/>
    <s v="Travel_Frequently"/>
    <n v="1246"/>
    <x v="2"/>
    <n v="3"/>
    <n v="3"/>
    <s v="Medical"/>
    <n v="1"/>
    <n v="644"/>
    <n v="1"/>
    <x v="1"/>
    <n v="99"/>
    <n v="3"/>
    <n v="5"/>
    <x v="5"/>
    <x v="1"/>
    <s v="Married"/>
    <n v="18200"/>
    <n v="7999"/>
    <n v="1"/>
    <s v="Y"/>
    <s v="No"/>
    <n v="11"/>
    <n v="3"/>
    <n v="3"/>
    <n v="80"/>
    <n v="1"/>
    <n v="32"/>
    <n v="2"/>
    <n v="3"/>
    <n v="32"/>
    <n v="5"/>
    <n v="10"/>
    <n v="7"/>
    <x v="1"/>
    <x v="1"/>
    <x v="3"/>
  </r>
  <r>
    <n v="25"/>
    <s v="No"/>
    <s v="Travel_Rarely"/>
    <n v="622"/>
    <x v="0"/>
    <n v="13"/>
    <n v="1"/>
    <s v="Medical"/>
    <n v="1"/>
    <n v="645"/>
    <n v="2"/>
    <x v="1"/>
    <n v="40"/>
    <n v="3"/>
    <n v="1"/>
    <x v="6"/>
    <x v="2"/>
    <s v="Married"/>
    <n v="2096"/>
    <n v="26376"/>
    <n v="1"/>
    <s v="Y"/>
    <s v="No"/>
    <n v="11"/>
    <n v="3"/>
    <n v="3"/>
    <n v="80"/>
    <n v="0"/>
    <n v="7"/>
    <n v="1"/>
    <n v="3"/>
    <n v="7"/>
    <n v="4"/>
    <n v="0"/>
    <n v="6"/>
    <x v="1"/>
    <x v="3"/>
    <x v="0"/>
  </r>
  <r>
    <n v="24"/>
    <s v="Yes"/>
    <s v="Travel_Frequently"/>
    <n v="1287"/>
    <x v="1"/>
    <n v="7"/>
    <n v="3"/>
    <s v="Life Sciences"/>
    <n v="1"/>
    <n v="647"/>
    <n v="1"/>
    <x v="0"/>
    <n v="55"/>
    <n v="3"/>
    <n v="1"/>
    <x v="2"/>
    <x v="2"/>
    <s v="Married"/>
    <n v="2886"/>
    <n v="14168"/>
    <n v="1"/>
    <s v="Y"/>
    <s v="Yes"/>
    <n v="16"/>
    <n v="3"/>
    <n v="4"/>
    <n v="80"/>
    <n v="1"/>
    <n v="6"/>
    <n v="4"/>
    <n v="3"/>
    <n v="6"/>
    <n v="3"/>
    <n v="1"/>
    <n v="2"/>
    <x v="0"/>
    <x v="3"/>
    <x v="0"/>
  </r>
  <r>
    <n v="30"/>
    <s v="Yes"/>
    <s v="Travel_Frequently"/>
    <n v="448"/>
    <x v="0"/>
    <n v="12"/>
    <n v="4"/>
    <s v="Life Sciences"/>
    <n v="1"/>
    <n v="648"/>
    <n v="2"/>
    <x v="1"/>
    <n v="74"/>
    <n v="2"/>
    <n v="1"/>
    <x v="6"/>
    <x v="3"/>
    <s v="Married"/>
    <n v="2033"/>
    <n v="14470"/>
    <n v="1"/>
    <s v="Y"/>
    <s v="No"/>
    <n v="18"/>
    <n v="3"/>
    <n v="3"/>
    <n v="80"/>
    <n v="1"/>
    <n v="1"/>
    <n v="2"/>
    <n v="4"/>
    <n v="1"/>
    <n v="0"/>
    <n v="0"/>
    <n v="0"/>
    <x v="0"/>
    <x v="2"/>
    <x v="1"/>
  </r>
  <r>
    <n v="34"/>
    <s v="No"/>
    <s v="Travel_Rarely"/>
    <n v="254"/>
    <x v="1"/>
    <n v="1"/>
    <n v="2"/>
    <s v="Life Sciences"/>
    <n v="1"/>
    <n v="649"/>
    <n v="2"/>
    <x v="1"/>
    <n v="83"/>
    <n v="2"/>
    <n v="1"/>
    <x v="1"/>
    <x v="0"/>
    <s v="Married"/>
    <n v="3622"/>
    <n v="22794"/>
    <n v="1"/>
    <s v="Y"/>
    <s v="Yes"/>
    <n v="13"/>
    <n v="3"/>
    <n v="4"/>
    <n v="80"/>
    <n v="1"/>
    <n v="6"/>
    <n v="3"/>
    <n v="3"/>
    <n v="6"/>
    <n v="5"/>
    <n v="1"/>
    <n v="3"/>
    <x v="1"/>
    <x v="2"/>
    <x v="0"/>
  </r>
  <r>
    <n v="31"/>
    <s v="Yes"/>
    <s v="Travel_Rarely"/>
    <n v="1365"/>
    <x v="0"/>
    <n v="13"/>
    <n v="4"/>
    <s v="Medical"/>
    <n v="1"/>
    <n v="650"/>
    <n v="2"/>
    <x v="1"/>
    <n v="46"/>
    <n v="3"/>
    <n v="2"/>
    <x v="0"/>
    <x v="3"/>
    <s v="Divorced"/>
    <n v="4233"/>
    <n v="11512"/>
    <n v="2"/>
    <s v="Y"/>
    <s v="No"/>
    <n v="17"/>
    <n v="3"/>
    <n v="3"/>
    <n v="80"/>
    <n v="0"/>
    <n v="9"/>
    <n v="2"/>
    <n v="1"/>
    <n v="3"/>
    <n v="1"/>
    <n v="1"/>
    <n v="2"/>
    <x v="0"/>
    <x v="2"/>
    <x v="2"/>
  </r>
  <r>
    <n v="35"/>
    <s v="No"/>
    <s v="Travel_Rarely"/>
    <n v="538"/>
    <x v="1"/>
    <n v="25"/>
    <n v="2"/>
    <s v="Other"/>
    <n v="1"/>
    <n v="652"/>
    <n v="1"/>
    <x v="1"/>
    <n v="54"/>
    <n v="2"/>
    <n v="2"/>
    <x v="2"/>
    <x v="0"/>
    <s v="Single"/>
    <n v="3681"/>
    <n v="14004"/>
    <n v="4"/>
    <s v="Y"/>
    <s v="No"/>
    <n v="14"/>
    <n v="3"/>
    <n v="4"/>
    <n v="80"/>
    <n v="0"/>
    <n v="9"/>
    <n v="3"/>
    <n v="3"/>
    <n v="3"/>
    <n v="2"/>
    <n v="0"/>
    <n v="2"/>
    <x v="1"/>
    <x v="2"/>
    <x v="2"/>
  </r>
  <r>
    <n v="31"/>
    <s v="No"/>
    <s v="Travel_Rarely"/>
    <n v="525"/>
    <x v="0"/>
    <n v="6"/>
    <n v="4"/>
    <s v="Medical"/>
    <n v="1"/>
    <n v="653"/>
    <n v="1"/>
    <x v="1"/>
    <n v="66"/>
    <n v="4"/>
    <n v="2"/>
    <x v="0"/>
    <x v="0"/>
    <s v="Divorced"/>
    <n v="5460"/>
    <n v="6219"/>
    <n v="4"/>
    <s v="Y"/>
    <s v="No"/>
    <n v="22"/>
    <n v="4"/>
    <n v="4"/>
    <n v="80"/>
    <n v="2"/>
    <n v="13"/>
    <n v="4"/>
    <n v="4"/>
    <n v="7"/>
    <n v="7"/>
    <n v="5"/>
    <n v="7"/>
    <x v="1"/>
    <x v="2"/>
    <x v="0"/>
  </r>
  <r>
    <n v="27"/>
    <s v="No"/>
    <s v="Travel_Rarely"/>
    <n v="798"/>
    <x v="1"/>
    <n v="6"/>
    <n v="4"/>
    <s v="Medical"/>
    <n v="1"/>
    <n v="655"/>
    <n v="1"/>
    <x v="0"/>
    <n v="66"/>
    <n v="2"/>
    <n v="1"/>
    <x v="1"/>
    <x v="2"/>
    <s v="Divorced"/>
    <n v="2187"/>
    <n v="5013"/>
    <n v="0"/>
    <s v="Y"/>
    <s v="No"/>
    <n v="12"/>
    <n v="3"/>
    <n v="3"/>
    <n v="80"/>
    <n v="2"/>
    <n v="6"/>
    <n v="5"/>
    <n v="2"/>
    <n v="5"/>
    <n v="3"/>
    <n v="0"/>
    <n v="3"/>
    <x v="1"/>
    <x v="2"/>
    <x v="2"/>
  </r>
  <r>
    <n v="37"/>
    <s v="No"/>
    <s v="Travel_Rarely"/>
    <n v="558"/>
    <x v="0"/>
    <n v="2"/>
    <n v="3"/>
    <s v="Marketing"/>
    <n v="1"/>
    <n v="656"/>
    <n v="4"/>
    <x v="1"/>
    <n v="75"/>
    <n v="3"/>
    <n v="2"/>
    <x v="0"/>
    <x v="2"/>
    <s v="Married"/>
    <n v="9602"/>
    <n v="3010"/>
    <n v="4"/>
    <s v="Y"/>
    <s v="Yes"/>
    <n v="11"/>
    <n v="3"/>
    <n v="3"/>
    <n v="80"/>
    <n v="1"/>
    <n v="17"/>
    <n v="3"/>
    <n v="2"/>
    <n v="3"/>
    <n v="0"/>
    <n v="1"/>
    <n v="0"/>
    <x v="1"/>
    <x v="0"/>
    <x v="2"/>
  </r>
  <r>
    <n v="20"/>
    <s v="No"/>
    <s v="Travel_Rarely"/>
    <n v="959"/>
    <x v="1"/>
    <n v="1"/>
    <n v="3"/>
    <s v="Life Sciences"/>
    <n v="1"/>
    <n v="657"/>
    <n v="4"/>
    <x v="0"/>
    <n v="83"/>
    <n v="2"/>
    <n v="1"/>
    <x v="1"/>
    <x v="1"/>
    <s v="Single"/>
    <n v="2836"/>
    <n v="11757"/>
    <n v="1"/>
    <s v="Y"/>
    <s v="No"/>
    <n v="13"/>
    <n v="3"/>
    <n v="4"/>
    <n v="80"/>
    <n v="0"/>
    <n v="1"/>
    <n v="0"/>
    <n v="4"/>
    <n v="1"/>
    <n v="0"/>
    <n v="0"/>
    <n v="0"/>
    <x v="1"/>
    <x v="3"/>
    <x v="1"/>
  </r>
  <r>
    <n v="42"/>
    <s v="No"/>
    <s v="Travel_Rarely"/>
    <n v="622"/>
    <x v="1"/>
    <n v="2"/>
    <n v="4"/>
    <s v="Life Sciences"/>
    <n v="1"/>
    <n v="659"/>
    <n v="3"/>
    <x v="0"/>
    <n v="81"/>
    <n v="3"/>
    <n v="2"/>
    <x v="4"/>
    <x v="0"/>
    <s v="Married"/>
    <n v="4089"/>
    <n v="5718"/>
    <n v="1"/>
    <s v="Y"/>
    <s v="No"/>
    <n v="13"/>
    <n v="3"/>
    <n v="2"/>
    <n v="80"/>
    <n v="2"/>
    <n v="10"/>
    <n v="4"/>
    <n v="3"/>
    <n v="10"/>
    <n v="2"/>
    <n v="2"/>
    <n v="2"/>
    <x v="1"/>
    <x v="0"/>
    <x v="0"/>
  </r>
  <r>
    <n v="43"/>
    <s v="No"/>
    <s v="Travel_Rarely"/>
    <n v="782"/>
    <x v="1"/>
    <n v="6"/>
    <n v="4"/>
    <s v="Other"/>
    <n v="1"/>
    <n v="661"/>
    <n v="2"/>
    <x v="1"/>
    <n v="50"/>
    <n v="2"/>
    <n v="4"/>
    <x v="7"/>
    <x v="0"/>
    <s v="Divorced"/>
    <n v="16627"/>
    <n v="2671"/>
    <n v="4"/>
    <s v="Y"/>
    <s v="Yes"/>
    <n v="14"/>
    <n v="3"/>
    <n v="3"/>
    <n v="80"/>
    <n v="1"/>
    <n v="21"/>
    <n v="3"/>
    <n v="2"/>
    <n v="1"/>
    <n v="0"/>
    <n v="0"/>
    <n v="0"/>
    <x v="1"/>
    <x v="0"/>
    <x v="1"/>
  </r>
  <r>
    <n v="38"/>
    <s v="No"/>
    <s v="Travel_Rarely"/>
    <n v="362"/>
    <x v="1"/>
    <n v="1"/>
    <n v="1"/>
    <s v="Life Sciences"/>
    <n v="1"/>
    <n v="662"/>
    <n v="3"/>
    <x v="0"/>
    <n v="43"/>
    <n v="3"/>
    <n v="1"/>
    <x v="1"/>
    <x v="3"/>
    <s v="Single"/>
    <n v="2619"/>
    <n v="14561"/>
    <n v="3"/>
    <s v="Y"/>
    <s v="No"/>
    <n v="17"/>
    <n v="3"/>
    <n v="4"/>
    <n v="80"/>
    <n v="0"/>
    <n v="8"/>
    <n v="3"/>
    <n v="2"/>
    <n v="0"/>
    <n v="0"/>
    <n v="0"/>
    <n v="0"/>
    <x v="1"/>
    <x v="0"/>
    <x v="1"/>
  </r>
  <r>
    <n v="43"/>
    <s v="No"/>
    <s v="Travel_Frequently"/>
    <n v="1001"/>
    <x v="1"/>
    <n v="9"/>
    <n v="5"/>
    <s v="Medical"/>
    <n v="1"/>
    <n v="663"/>
    <n v="4"/>
    <x v="1"/>
    <n v="72"/>
    <n v="3"/>
    <n v="2"/>
    <x v="2"/>
    <x v="2"/>
    <s v="Divorced"/>
    <n v="5679"/>
    <n v="19627"/>
    <n v="3"/>
    <s v="Y"/>
    <s v="Yes"/>
    <n v="13"/>
    <n v="3"/>
    <n v="2"/>
    <n v="80"/>
    <n v="1"/>
    <n v="10"/>
    <n v="3"/>
    <n v="3"/>
    <n v="8"/>
    <n v="7"/>
    <n v="4"/>
    <n v="7"/>
    <x v="1"/>
    <x v="0"/>
    <x v="0"/>
  </r>
  <r>
    <n v="48"/>
    <s v="No"/>
    <s v="Travel_Rarely"/>
    <n v="1236"/>
    <x v="1"/>
    <n v="1"/>
    <n v="4"/>
    <s v="Life Sciences"/>
    <n v="1"/>
    <n v="664"/>
    <n v="4"/>
    <x v="0"/>
    <n v="40"/>
    <n v="2"/>
    <n v="4"/>
    <x v="5"/>
    <x v="3"/>
    <s v="Married"/>
    <n v="15402"/>
    <n v="17997"/>
    <n v="7"/>
    <s v="Y"/>
    <s v="No"/>
    <n v="11"/>
    <n v="3"/>
    <n v="1"/>
    <n v="80"/>
    <n v="1"/>
    <n v="21"/>
    <n v="3"/>
    <n v="1"/>
    <n v="3"/>
    <n v="2"/>
    <n v="0"/>
    <n v="2"/>
    <x v="1"/>
    <x v="1"/>
    <x v="2"/>
  </r>
  <r>
    <n v="44"/>
    <s v="No"/>
    <s v="Travel_Rarely"/>
    <n v="1112"/>
    <x v="2"/>
    <n v="1"/>
    <n v="4"/>
    <s v="Life Sciences"/>
    <n v="1"/>
    <n v="665"/>
    <n v="1"/>
    <x v="0"/>
    <n v="50"/>
    <n v="2"/>
    <n v="2"/>
    <x v="8"/>
    <x v="2"/>
    <s v="Single"/>
    <n v="5985"/>
    <n v="26894"/>
    <n v="4"/>
    <s v="Y"/>
    <s v="No"/>
    <n v="11"/>
    <n v="3"/>
    <n v="2"/>
    <n v="80"/>
    <n v="0"/>
    <n v="10"/>
    <n v="1"/>
    <n v="4"/>
    <n v="2"/>
    <n v="2"/>
    <n v="0"/>
    <n v="2"/>
    <x v="1"/>
    <x v="0"/>
    <x v="1"/>
  </r>
  <r>
    <n v="34"/>
    <s v="No"/>
    <s v="Travel_Rarely"/>
    <n v="204"/>
    <x v="0"/>
    <n v="14"/>
    <n v="3"/>
    <s v="Technical Degree"/>
    <n v="1"/>
    <n v="666"/>
    <n v="3"/>
    <x v="0"/>
    <n v="31"/>
    <n v="3"/>
    <n v="1"/>
    <x v="6"/>
    <x v="2"/>
    <s v="Divorced"/>
    <n v="2579"/>
    <n v="2912"/>
    <n v="1"/>
    <s v="Y"/>
    <s v="Yes"/>
    <n v="18"/>
    <n v="3"/>
    <n v="4"/>
    <n v="80"/>
    <n v="2"/>
    <n v="8"/>
    <n v="3"/>
    <n v="3"/>
    <n v="8"/>
    <n v="2"/>
    <n v="0"/>
    <n v="6"/>
    <x v="1"/>
    <x v="2"/>
    <x v="0"/>
  </r>
  <r>
    <n v="27"/>
    <s v="Yes"/>
    <s v="Travel_Rarely"/>
    <n v="1420"/>
    <x v="0"/>
    <n v="2"/>
    <n v="1"/>
    <s v="Marketing"/>
    <n v="1"/>
    <n v="667"/>
    <n v="3"/>
    <x v="1"/>
    <n v="85"/>
    <n v="3"/>
    <n v="1"/>
    <x v="6"/>
    <x v="3"/>
    <s v="Divorced"/>
    <n v="3041"/>
    <n v="16346"/>
    <n v="0"/>
    <s v="Y"/>
    <s v="No"/>
    <n v="11"/>
    <n v="3"/>
    <n v="2"/>
    <n v="80"/>
    <n v="1"/>
    <n v="5"/>
    <n v="3"/>
    <n v="3"/>
    <n v="4"/>
    <n v="3"/>
    <n v="0"/>
    <n v="2"/>
    <x v="0"/>
    <x v="2"/>
    <x v="2"/>
  </r>
  <r>
    <n v="21"/>
    <s v="No"/>
    <s v="Travel_Rarely"/>
    <n v="1343"/>
    <x v="0"/>
    <n v="22"/>
    <n v="1"/>
    <s v="Technical Degree"/>
    <n v="1"/>
    <n v="669"/>
    <n v="3"/>
    <x v="1"/>
    <n v="49"/>
    <n v="3"/>
    <n v="1"/>
    <x v="6"/>
    <x v="2"/>
    <s v="Single"/>
    <n v="3447"/>
    <n v="24444"/>
    <n v="1"/>
    <s v="Y"/>
    <s v="No"/>
    <n v="11"/>
    <n v="3"/>
    <n v="3"/>
    <n v="80"/>
    <n v="0"/>
    <n v="3"/>
    <n v="2"/>
    <n v="3"/>
    <n v="3"/>
    <n v="2"/>
    <n v="1"/>
    <n v="2"/>
    <x v="1"/>
    <x v="3"/>
    <x v="2"/>
  </r>
  <r>
    <n v="44"/>
    <s v="No"/>
    <s v="Travel_Rarely"/>
    <n v="1315"/>
    <x v="1"/>
    <n v="3"/>
    <n v="4"/>
    <s v="Other"/>
    <n v="1"/>
    <n v="671"/>
    <n v="4"/>
    <x v="1"/>
    <n v="35"/>
    <n v="3"/>
    <n v="5"/>
    <x v="5"/>
    <x v="0"/>
    <s v="Married"/>
    <n v="19513"/>
    <n v="9358"/>
    <n v="4"/>
    <s v="Y"/>
    <s v="Yes"/>
    <n v="12"/>
    <n v="3"/>
    <n v="1"/>
    <n v="80"/>
    <n v="1"/>
    <n v="26"/>
    <n v="2"/>
    <n v="4"/>
    <n v="2"/>
    <n v="2"/>
    <n v="0"/>
    <n v="1"/>
    <x v="1"/>
    <x v="0"/>
    <x v="1"/>
  </r>
  <r>
    <n v="22"/>
    <s v="No"/>
    <s v="Travel_Rarely"/>
    <n v="604"/>
    <x v="1"/>
    <n v="6"/>
    <n v="1"/>
    <s v="Medical"/>
    <n v="1"/>
    <n v="675"/>
    <n v="1"/>
    <x v="1"/>
    <n v="69"/>
    <n v="3"/>
    <n v="1"/>
    <x v="1"/>
    <x v="2"/>
    <s v="Married"/>
    <n v="2773"/>
    <n v="12145"/>
    <n v="0"/>
    <s v="Y"/>
    <s v="No"/>
    <n v="20"/>
    <n v="4"/>
    <n v="4"/>
    <n v="80"/>
    <n v="0"/>
    <n v="3"/>
    <n v="3"/>
    <n v="3"/>
    <n v="2"/>
    <n v="2"/>
    <n v="2"/>
    <n v="2"/>
    <x v="1"/>
    <x v="3"/>
    <x v="1"/>
  </r>
  <r>
    <n v="33"/>
    <s v="No"/>
    <s v="Travel_Rarely"/>
    <n v="1216"/>
    <x v="0"/>
    <n v="8"/>
    <n v="4"/>
    <s v="Marketing"/>
    <n v="1"/>
    <n v="677"/>
    <n v="3"/>
    <x v="1"/>
    <n v="39"/>
    <n v="3"/>
    <n v="2"/>
    <x v="0"/>
    <x v="2"/>
    <s v="Divorced"/>
    <n v="7104"/>
    <n v="20431"/>
    <n v="0"/>
    <s v="Y"/>
    <s v="No"/>
    <n v="12"/>
    <n v="3"/>
    <n v="4"/>
    <n v="80"/>
    <n v="0"/>
    <n v="6"/>
    <n v="3"/>
    <n v="3"/>
    <n v="5"/>
    <n v="0"/>
    <n v="1"/>
    <n v="2"/>
    <x v="1"/>
    <x v="2"/>
    <x v="2"/>
  </r>
  <r>
    <n v="32"/>
    <s v="No"/>
    <s v="Travel_Rarely"/>
    <n v="646"/>
    <x v="1"/>
    <n v="9"/>
    <n v="4"/>
    <s v="Life Sciences"/>
    <n v="1"/>
    <n v="679"/>
    <n v="1"/>
    <x v="0"/>
    <n v="92"/>
    <n v="3"/>
    <n v="2"/>
    <x v="1"/>
    <x v="0"/>
    <s v="Married"/>
    <n v="6322"/>
    <n v="18089"/>
    <n v="1"/>
    <s v="Y"/>
    <s v="Yes"/>
    <n v="12"/>
    <n v="3"/>
    <n v="4"/>
    <n v="80"/>
    <n v="1"/>
    <n v="6"/>
    <n v="2"/>
    <n v="2"/>
    <n v="6"/>
    <n v="4"/>
    <n v="0"/>
    <n v="5"/>
    <x v="1"/>
    <x v="2"/>
    <x v="0"/>
  </r>
  <r>
    <n v="30"/>
    <s v="No"/>
    <s v="Travel_Frequently"/>
    <n v="160"/>
    <x v="1"/>
    <n v="3"/>
    <n v="3"/>
    <s v="Medical"/>
    <n v="1"/>
    <n v="680"/>
    <n v="3"/>
    <x v="0"/>
    <n v="71"/>
    <n v="3"/>
    <n v="1"/>
    <x v="1"/>
    <x v="2"/>
    <s v="Divorced"/>
    <n v="2083"/>
    <n v="22653"/>
    <n v="1"/>
    <s v="Y"/>
    <s v="No"/>
    <n v="20"/>
    <n v="4"/>
    <n v="3"/>
    <n v="80"/>
    <n v="1"/>
    <n v="1"/>
    <n v="2"/>
    <n v="3"/>
    <n v="1"/>
    <n v="0"/>
    <n v="0"/>
    <n v="0"/>
    <x v="1"/>
    <x v="2"/>
    <x v="1"/>
  </r>
  <r>
    <n v="53"/>
    <s v="No"/>
    <s v="Travel_Rarely"/>
    <n v="238"/>
    <x v="0"/>
    <n v="1"/>
    <n v="1"/>
    <s v="Medical"/>
    <n v="1"/>
    <n v="682"/>
    <n v="4"/>
    <x v="0"/>
    <n v="34"/>
    <n v="3"/>
    <n v="2"/>
    <x v="0"/>
    <x v="3"/>
    <s v="Single"/>
    <n v="8381"/>
    <n v="7507"/>
    <n v="7"/>
    <s v="Y"/>
    <s v="No"/>
    <n v="20"/>
    <n v="4"/>
    <n v="4"/>
    <n v="80"/>
    <n v="0"/>
    <n v="18"/>
    <n v="2"/>
    <n v="4"/>
    <n v="14"/>
    <n v="7"/>
    <n v="8"/>
    <n v="10"/>
    <x v="1"/>
    <x v="1"/>
    <x v="3"/>
  </r>
  <r>
    <n v="34"/>
    <s v="No"/>
    <s v="Travel_Rarely"/>
    <n v="1397"/>
    <x v="1"/>
    <n v="1"/>
    <n v="5"/>
    <s v="Life Sciences"/>
    <n v="1"/>
    <n v="683"/>
    <n v="2"/>
    <x v="1"/>
    <n v="42"/>
    <n v="3"/>
    <n v="1"/>
    <x v="1"/>
    <x v="0"/>
    <s v="Married"/>
    <n v="2691"/>
    <n v="7660"/>
    <n v="1"/>
    <s v="Y"/>
    <s v="No"/>
    <n v="12"/>
    <n v="3"/>
    <n v="4"/>
    <n v="80"/>
    <n v="1"/>
    <n v="10"/>
    <n v="4"/>
    <n v="2"/>
    <n v="10"/>
    <n v="9"/>
    <n v="8"/>
    <n v="8"/>
    <x v="1"/>
    <x v="2"/>
    <x v="0"/>
  </r>
  <r>
    <n v="45"/>
    <s v="Yes"/>
    <s v="Travel_Frequently"/>
    <n v="306"/>
    <x v="0"/>
    <n v="26"/>
    <n v="4"/>
    <s v="Life Sciences"/>
    <n v="1"/>
    <n v="684"/>
    <n v="1"/>
    <x v="0"/>
    <n v="100"/>
    <n v="3"/>
    <n v="2"/>
    <x v="0"/>
    <x v="3"/>
    <s v="Married"/>
    <n v="4286"/>
    <n v="5630"/>
    <n v="2"/>
    <s v="Y"/>
    <s v="No"/>
    <n v="14"/>
    <n v="3"/>
    <n v="4"/>
    <n v="80"/>
    <n v="2"/>
    <n v="5"/>
    <n v="4"/>
    <n v="3"/>
    <n v="1"/>
    <n v="1"/>
    <n v="0"/>
    <n v="0"/>
    <x v="0"/>
    <x v="0"/>
    <x v="1"/>
  </r>
  <r>
    <n v="26"/>
    <s v="No"/>
    <s v="Travel_Rarely"/>
    <n v="991"/>
    <x v="1"/>
    <n v="6"/>
    <n v="3"/>
    <s v="Life Sciences"/>
    <n v="1"/>
    <n v="686"/>
    <n v="3"/>
    <x v="0"/>
    <n v="71"/>
    <n v="3"/>
    <n v="1"/>
    <x v="2"/>
    <x v="0"/>
    <s v="Married"/>
    <n v="2659"/>
    <n v="17759"/>
    <n v="1"/>
    <s v="Y"/>
    <s v="Yes"/>
    <n v="13"/>
    <n v="3"/>
    <n v="3"/>
    <n v="80"/>
    <n v="1"/>
    <n v="3"/>
    <n v="2"/>
    <n v="3"/>
    <n v="3"/>
    <n v="2"/>
    <n v="0"/>
    <n v="2"/>
    <x v="1"/>
    <x v="2"/>
    <x v="2"/>
  </r>
  <r>
    <n v="37"/>
    <s v="No"/>
    <s v="Travel_Rarely"/>
    <n v="482"/>
    <x v="1"/>
    <n v="3"/>
    <n v="3"/>
    <s v="Other"/>
    <n v="1"/>
    <n v="689"/>
    <n v="3"/>
    <x v="1"/>
    <n v="36"/>
    <n v="3"/>
    <n v="3"/>
    <x v="3"/>
    <x v="2"/>
    <s v="Married"/>
    <n v="9434"/>
    <n v="9606"/>
    <n v="1"/>
    <s v="Y"/>
    <s v="No"/>
    <n v="15"/>
    <n v="3"/>
    <n v="3"/>
    <n v="80"/>
    <n v="1"/>
    <n v="10"/>
    <n v="2"/>
    <n v="3"/>
    <n v="10"/>
    <n v="7"/>
    <n v="7"/>
    <n v="8"/>
    <x v="1"/>
    <x v="0"/>
    <x v="0"/>
  </r>
  <r>
    <n v="29"/>
    <s v="No"/>
    <s v="Travel_Rarely"/>
    <n v="1176"/>
    <x v="0"/>
    <n v="3"/>
    <n v="2"/>
    <s v="Medical"/>
    <n v="1"/>
    <n v="690"/>
    <n v="2"/>
    <x v="0"/>
    <n v="62"/>
    <n v="3"/>
    <n v="2"/>
    <x v="0"/>
    <x v="2"/>
    <s v="Married"/>
    <n v="5561"/>
    <n v="3487"/>
    <n v="1"/>
    <s v="Y"/>
    <s v="No"/>
    <n v="14"/>
    <n v="3"/>
    <n v="1"/>
    <n v="80"/>
    <n v="1"/>
    <n v="6"/>
    <n v="5"/>
    <n v="2"/>
    <n v="6"/>
    <n v="0"/>
    <n v="1"/>
    <n v="2"/>
    <x v="1"/>
    <x v="2"/>
    <x v="0"/>
  </r>
  <r>
    <n v="35"/>
    <s v="No"/>
    <s v="Travel_Rarely"/>
    <n v="1017"/>
    <x v="1"/>
    <n v="6"/>
    <n v="4"/>
    <s v="Life Sciences"/>
    <n v="1"/>
    <n v="691"/>
    <n v="2"/>
    <x v="1"/>
    <n v="82"/>
    <n v="1"/>
    <n v="2"/>
    <x v="1"/>
    <x v="0"/>
    <s v="Single"/>
    <n v="6646"/>
    <n v="19368"/>
    <n v="1"/>
    <s v="Y"/>
    <s v="No"/>
    <n v="13"/>
    <n v="3"/>
    <n v="2"/>
    <n v="80"/>
    <n v="0"/>
    <n v="17"/>
    <n v="3"/>
    <n v="3"/>
    <n v="17"/>
    <n v="11"/>
    <n v="11"/>
    <n v="8"/>
    <x v="1"/>
    <x v="2"/>
    <x v="3"/>
  </r>
  <r>
    <n v="33"/>
    <s v="No"/>
    <s v="Travel_Frequently"/>
    <n v="1296"/>
    <x v="1"/>
    <n v="6"/>
    <n v="3"/>
    <s v="Life Sciences"/>
    <n v="1"/>
    <n v="692"/>
    <n v="3"/>
    <x v="1"/>
    <n v="30"/>
    <n v="3"/>
    <n v="2"/>
    <x v="4"/>
    <x v="0"/>
    <s v="Divorced"/>
    <n v="7725"/>
    <n v="5335"/>
    <n v="3"/>
    <s v="Y"/>
    <s v="No"/>
    <n v="23"/>
    <n v="4"/>
    <n v="3"/>
    <n v="80"/>
    <n v="1"/>
    <n v="15"/>
    <n v="2"/>
    <n v="1"/>
    <n v="13"/>
    <n v="11"/>
    <n v="4"/>
    <n v="7"/>
    <x v="1"/>
    <x v="2"/>
    <x v="3"/>
  </r>
  <r>
    <n v="54"/>
    <s v="No"/>
    <s v="Travel_Rarely"/>
    <n v="397"/>
    <x v="2"/>
    <n v="19"/>
    <n v="4"/>
    <s v="Medical"/>
    <n v="1"/>
    <n v="698"/>
    <n v="3"/>
    <x v="1"/>
    <n v="88"/>
    <n v="3"/>
    <n v="3"/>
    <x v="8"/>
    <x v="1"/>
    <s v="Married"/>
    <n v="10725"/>
    <n v="6729"/>
    <n v="2"/>
    <s v="Y"/>
    <s v="No"/>
    <n v="15"/>
    <n v="3"/>
    <n v="3"/>
    <n v="80"/>
    <n v="1"/>
    <n v="16"/>
    <n v="1"/>
    <n v="4"/>
    <n v="9"/>
    <n v="7"/>
    <n v="7"/>
    <n v="1"/>
    <x v="1"/>
    <x v="1"/>
    <x v="0"/>
  </r>
  <r>
    <n v="36"/>
    <s v="No"/>
    <s v="Travel_Rarely"/>
    <n v="913"/>
    <x v="1"/>
    <n v="9"/>
    <n v="2"/>
    <s v="Medical"/>
    <n v="1"/>
    <n v="699"/>
    <n v="2"/>
    <x v="1"/>
    <n v="48"/>
    <n v="2"/>
    <n v="2"/>
    <x v="3"/>
    <x v="1"/>
    <s v="Divorced"/>
    <n v="8847"/>
    <n v="13934"/>
    <n v="2"/>
    <s v="Y"/>
    <s v="Yes"/>
    <n v="11"/>
    <n v="3"/>
    <n v="3"/>
    <n v="80"/>
    <n v="1"/>
    <n v="13"/>
    <n v="2"/>
    <n v="3"/>
    <n v="3"/>
    <n v="2"/>
    <n v="0"/>
    <n v="2"/>
    <x v="1"/>
    <x v="0"/>
    <x v="2"/>
  </r>
  <r>
    <n v="27"/>
    <s v="No"/>
    <s v="Travel_Rarely"/>
    <n v="1115"/>
    <x v="1"/>
    <n v="3"/>
    <n v="4"/>
    <s v="Medical"/>
    <n v="1"/>
    <n v="700"/>
    <n v="1"/>
    <x v="1"/>
    <n v="54"/>
    <n v="2"/>
    <n v="1"/>
    <x v="1"/>
    <x v="0"/>
    <s v="Single"/>
    <n v="2045"/>
    <n v="15174"/>
    <n v="0"/>
    <s v="Y"/>
    <s v="No"/>
    <n v="13"/>
    <n v="3"/>
    <n v="4"/>
    <n v="80"/>
    <n v="0"/>
    <n v="5"/>
    <n v="0"/>
    <n v="3"/>
    <n v="4"/>
    <n v="2"/>
    <n v="1"/>
    <n v="1"/>
    <x v="1"/>
    <x v="2"/>
    <x v="2"/>
  </r>
  <r>
    <n v="20"/>
    <s v="Yes"/>
    <s v="Travel_Rarely"/>
    <n v="1362"/>
    <x v="1"/>
    <n v="10"/>
    <n v="1"/>
    <s v="Medical"/>
    <n v="1"/>
    <n v="701"/>
    <n v="4"/>
    <x v="1"/>
    <n v="32"/>
    <n v="3"/>
    <n v="1"/>
    <x v="1"/>
    <x v="2"/>
    <s v="Single"/>
    <n v="1009"/>
    <n v="26999"/>
    <n v="1"/>
    <s v="Y"/>
    <s v="Yes"/>
    <n v="11"/>
    <n v="3"/>
    <n v="4"/>
    <n v="80"/>
    <n v="0"/>
    <n v="1"/>
    <n v="5"/>
    <n v="3"/>
    <n v="1"/>
    <n v="0"/>
    <n v="1"/>
    <n v="1"/>
    <x v="0"/>
    <x v="3"/>
    <x v="1"/>
  </r>
  <r>
    <n v="33"/>
    <s v="Yes"/>
    <s v="Travel_Frequently"/>
    <n v="1076"/>
    <x v="1"/>
    <n v="3"/>
    <n v="3"/>
    <s v="Life Sciences"/>
    <n v="1"/>
    <n v="702"/>
    <n v="1"/>
    <x v="1"/>
    <n v="70"/>
    <n v="3"/>
    <n v="1"/>
    <x v="1"/>
    <x v="3"/>
    <s v="Single"/>
    <n v="3348"/>
    <n v="3164"/>
    <n v="1"/>
    <s v="Y"/>
    <s v="Yes"/>
    <n v="11"/>
    <n v="3"/>
    <n v="1"/>
    <n v="80"/>
    <n v="0"/>
    <n v="10"/>
    <n v="3"/>
    <n v="3"/>
    <n v="10"/>
    <n v="8"/>
    <n v="9"/>
    <n v="7"/>
    <x v="0"/>
    <x v="2"/>
    <x v="0"/>
  </r>
  <r>
    <n v="35"/>
    <s v="No"/>
    <s v="Non-Travel"/>
    <n v="727"/>
    <x v="1"/>
    <n v="3"/>
    <n v="3"/>
    <s v="Life Sciences"/>
    <n v="1"/>
    <n v="704"/>
    <n v="3"/>
    <x v="1"/>
    <n v="41"/>
    <n v="2"/>
    <n v="1"/>
    <x v="2"/>
    <x v="2"/>
    <s v="Married"/>
    <n v="1281"/>
    <n v="16900"/>
    <n v="1"/>
    <s v="Y"/>
    <s v="No"/>
    <n v="18"/>
    <n v="3"/>
    <n v="3"/>
    <n v="80"/>
    <n v="2"/>
    <n v="1"/>
    <n v="3"/>
    <n v="3"/>
    <n v="1"/>
    <n v="0"/>
    <n v="0"/>
    <n v="0"/>
    <x v="1"/>
    <x v="2"/>
    <x v="1"/>
  </r>
  <r>
    <n v="23"/>
    <s v="No"/>
    <s v="Travel_Rarely"/>
    <n v="885"/>
    <x v="1"/>
    <n v="4"/>
    <n v="3"/>
    <s v="Medical"/>
    <n v="1"/>
    <n v="705"/>
    <n v="1"/>
    <x v="1"/>
    <n v="58"/>
    <n v="4"/>
    <n v="1"/>
    <x v="1"/>
    <x v="3"/>
    <s v="Married"/>
    <n v="2819"/>
    <n v="8544"/>
    <n v="2"/>
    <s v="Y"/>
    <s v="No"/>
    <n v="16"/>
    <n v="3"/>
    <n v="1"/>
    <n v="80"/>
    <n v="1"/>
    <n v="5"/>
    <n v="3"/>
    <n v="4"/>
    <n v="3"/>
    <n v="2"/>
    <n v="0"/>
    <n v="2"/>
    <x v="1"/>
    <x v="3"/>
    <x v="2"/>
  </r>
  <r>
    <n v="25"/>
    <s v="No"/>
    <s v="Travel_Rarely"/>
    <n v="810"/>
    <x v="0"/>
    <n v="8"/>
    <n v="3"/>
    <s v="Life Sciences"/>
    <n v="1"/>
    <n v="707"/>
    <n v="4"/>
    <x v="1"/>
    <n v="57"/>
    <n v="4"/>
    <n v="2"/>
    <x v="0"/>
    <x v="1"/>
    <s v="Married"/>
    <n v="4851"/>
    <n v="15678"/>
    <n v="0"/>
    <s v="Y"/>
    <s v="No"/>
    <n v="22"/>
    <n v="4"/>
    <n v="3"/>
    <n v="80"/>
    <n v="1"/>
    <n v="4"/>
    <n v="4"/>
    <n v="3"/>
    <n v="3"/>
    <n v="2"/>
    <n v="1"/>
    <n v="2"/>
    <x v="1"/>
    <x v="3"/>
    <x v="2"/>
  </r>
  <r>
    <n v="38"/>
    <s v="No"/>
    <s v="Travel_Rarely"/>
    <n v="243"/>
    <x v="0"/>
    <n v="7"/>
    <n v="4"/>
    <s v="Marketing"/>
    <n v="1"/>
    <n v="709"/>
    <n v="4"/>
    <x v="0"/>
    <n v="46"/>
    <n v="2"/>
    <n v="2"/>
    <x v="0"/>
    <x v="0"/>
    <s v="Single"/>
    <n v="4028"/>
    <n v="7791"/>
    <n v="0"/>
    <s v="Y"/>
    <s v="No"/>
    <n v="20"/>
    <n v="4"/>
    <n v="1"/>
    <n v="80"/>
    <n v="0"/>
    <n v="8"/>
    <n v="2"/>
    <n v="3"/>
    <n v="7"/>
    <n v="7"/>
    <n v="0"/>
    <n v="5"/>
    <x v="1"/>
    <x v="0"/>
    <x v="0"/>
  </r>
  <r>
    <n v="29"/>
    <s v="No"/>
    <s v="Travel_Frequently"/>
    <n v="806"/>
    <x v="1"/>
    <n v="1"/>
    <n v="4"/>
    <s v="Life Sciences"/>
    <n v="1"/>
    <n v="710"/>
    <n v="2"/>
    <x v="1"/>
    <n v="76"/>
    <n v="1"/>
    <n v="1"/>
    <x v="1"/>
    <x v="0"/>
    <s v="Divorced"/>
    <n v="2720"/>
    <n v="18959"/>
    <n v="1"/>
    <s v="Y"/>
    <s v="No"/>
    <n v="18"/>
    <n v="3"/>
    <n v="4"/>
    <n v="80"/>
    <n v="1"/>
    <n v="10"/>
    <n v="5"/>
    <n v="3"/>
    <n v="10"/>
    <n v="7"/>
    <n v="2"/>
    <n v="8"/>
    <x v="1"/>
    <x v="2"/>
    <x v="0"/>
  </r>
  <r>
    <n v="48"/>
    <s v="No"/>
    <s v="Travel_Rarely"/>
    <n v="817"/>
    <x v="0"/>
    <n v="2"/>
    <n v="1"/>
    <s v="Marketing"/>
    <n v="1"/>
    <n v="712"/>
    <n v="2"/>
    <x v="1"/>
    <n v="56"/>
    <n v="4"/>
    <n v="2"/>
    <x v="0"/>
    <x v="1"/>
    <s v="Married"/>
    <n v="8120"/>
    <n v="18597"/>
    <n v="3"/>
    <s v="Y"/>
    <s v="No"/>
    <n v="12"/>
    <n v="3"/>
    <n v="4"/>
    <n v="80"/>
    <n v="0"/>
    <n v="12"/>
    <n v="3"/>
    <n v="3"/>
    <n v="2"/>
    <n v="2"/>
    <n v="2"/>
    <n v="2"/>
    <x v="1"/>
    <x v="1"/>
    <x v="1"/>
  </r>
  <r>
    <n v="27"/>
    <s v="No"/>
    <s v="Travel_Frequently"/>
    <n v="1410"/>
    <x v="0"/>
    <n v="3"/>
    <n v="1"/>
    <s v="Medical"/>
    <n v="1"/>
    <n v="714"/>
    <n v="4"/>
    <x v="0"/>
    <n v="71"/>
    <n v="4"/>
    <n v="2"/>
    <x v="0"/>
    <x v="0"/>
    <s v="Divorced"/>
    <n v="4647"/>
    <n v="16673"/>
    <n v="1"/>
    <s v="Y"/>
    <s v="Yes"/>
    <n v="20"/>
    <n v="4"/>
    <n v="2"/>
    <n v="80"/>
    <n v="2"/>
    <n v="6"/>
    <n v="3"/>
    <n v="3"/>
    <n v="6"/>
    <n v="5"/>
    <n v="0"/>
    <n v="4"/>
    <x v="1"/>
    <x v="2"/>
    <x v="0"/>
  </r>
  <r>
    <n v="37"/>
    <s v="No"/>
    <s v="Travel_Rarely"/>
    <n v="1225"/>
    <x v="1"/>
    <n v="10"/>
    <n v="2"/>
    <s v="Life Sciences"/>
    <n v="1"/>
    <n v="715"/>
    <n v="4"/>
    <x v="1"/>
    <n v="80"/>
    <n v="4"/>
    <n v="1"/>
    <x v="1"/>
    <x v="0"/>
    <s v="Single"/>
    <n v="4680"/>
    <n v="15232"/>
    <n v="3"/>
    <s v="Y"/>
    <s v="No"/>
    <n v="17"/>
    <n v="3"/>
    <n v="1"/>
    <n v="80"/>
    <n v="0"/>
    <n v="4"/>
    <n v="2"/>
    <n v="3"/>
    <n v="1"/>
    <n v="0"/>
    <n v="0"/>
    <n v="0"/>
    <x v="1"/>
    <x v="0"/>
    <x v="1"/>
  </r>
  <r>
    <n v="50"/>
    <s v="No"/>
    <s v="Travel_Rarely"/>
    <n v="1207"/>
    <x v="1"/>
    <n v="28"/>
    <n v="1"/>
    <s v="Medical"/>
    <n v="1"/>
    <n v="716"/>
    <n v="4"/>
    <x v="1"/>
    <n v="74"/>
    <n v="4"/>
    <n v="1"/>
    <x v="2"/>
    <x v="2"/>
    <s v="Married"/>
    <n v="3221"/>
    <n v="3297"/>
    <n v="1"/>
    <s v="Y"/>
    <s v="Yes"/>
    <n v="11"/>
    <n v="3"/>
    <n v="3"/>
    <n v="80"/>
    <n v="3"/>
    <n v="20"/>
    <n v="3"/>
    <n v="3"/>
    <n v="20"/>
    <n v="8"/>
    <n v="3"/>
    <n v="8"/>
    <x v="1"/>
    <x v="1"/>
    <x v="3"/>
  </r>
  <r>
    <n v="34"/>
    <s v="No"/>
    <s v="Travel_Rarely"/>
    <n v="1442"/>
    <x v="1"/>
    <n v="9"/>
    <n v="3"/>
    <s v="Medical"/>
    <n v="1"/>
    <n v="717"/>
    <n v="4"/>
    <x v="0"/>
    <n v="46"/>
    <n v="2"/>
    <n v="3"/>
    <x v="4"/>
    <x v="1"/>
    <s v="Single"/>
    <n v="8621"/>
    <n v="17654"/>
    <n v="1"/>
    <s v="Y"/>
    <s v="No"/>
    <n v="14"/>
    <n v="3"/>
    <n v="2"/>
    <n v="80"/>
    <n v="0"/>
    <n v="9"/>
    <n v="3"/>
    <n v="4"/>
    <n v="8"/>
    <n v="7"/>
    <n v="7"/>
    <n v="7"/>
    <x v="1"/>
    <x v="2"/>
    <x v="0"/>
  </r>
  <r>
    <n v="24"/>
    <s v="Yes"/>
    <s v="Travel_Rarely"/>
    <n v="693"/>
    <x v="0"/>
    <n v="3"/>
    <n v="2"/>
    <s v="Life Sciences"/>
    <n v="1"/>
    <n v="720"/>
    <n v="1"/>
    <x v="0"/>
    <n v="65"/>
    <n v="3"/>
    <n v="2"/>
    <x v="0"/>
    <x v="2"/>
    <s v="Single"/>
    <n v="4577"/>
    <n v="24785"/>
    <n v="9"/>
    <s v="Y"/>
    <s v="No"/>
    <n v="14"/>
    <n v="3"/>
    <n v="1"/>
    <n v="80"/>
    <n v="0"/>
    <n v="4"/>
    <n v="3"/>
    <n v="3"/>
    <n v="2"/>
    <n v="2"/>
    <n v="2"/>
    <n v="0"/>
    <x v="0"/>
    <x v="3"/>
    <x v="1"/>
  </r>
  <r>
    <n v="39"/>
    <s v="No"/>
    <s v="Travel_Rarely"/>
    <n v="408"/>
    <x v="1"/>
    <n v="2"/>
    <n v="4"/>
    <s v="Technical Degree"/>
    <n v="1"/>
    <n v="721"/>
    <n v="4"/>
    <x v="0"/>
    <n v="80"/>
    <n v="2"/>
    <n v="2"/>
    <x v="4"/>
    <x v="2"/>
    <s v="Single"/>
    <n v="4553"/>
    <n v="20978"/>
    <n v="1"/>
    <s v="Y"/>
    <s v="No"/>
    <n v="11"/>
    <n v="3"/>
    <n v="1"/>
    <n v="80"/>
    <n v="0"/>
    <n v="20"/>
    <n v="4"/>
    <n v="3"/>
    <n v="20"/>
    <n v="7"/>
    <n v="11"/>
    <n v="10"/>
    <x v="1"/>
    <x v="0"/>
    <x v="3"/>
  </r>
  <r>
    <n v="32"/>
    <s v="No"/>
    <s v="Travel_Rarely"/>
    <n v="929"/>
    <x v="0"/>
    <n v="10"/>
    <n v="3"/>
    <s v="Marketing"/>
    <n v="1"/>
    <n v="722"/>
    <n v="4"/>
    <x v="1"/>
    <n v="55"/>
    <n v="3"/>
    <n v="2"/>
    <x v="0"/>
    <x v="0"/>
    <s v="Single"/>
    <n v="5396"/>
    <n v="21703"/>
    <n v="1"/>
    <s v="Y"/>
    <s v="No"/>
    <n v="12"/>
    <n v="3"/>
    <n v="4"/>
    <n v="80"/>
    <n v="0"/>
    <n v="10"/>
    <n v="2"/>
    <n v="2"/>
    <n v="10"/>
    <n v="7"/>
    <n v="0"/>
    <n v="8"/>
    <x v="1"/>
    <x v="2"/>
    <x v="0"/>
  </r>
  <r>
    <n v="50"/>
    <s v="Yes"/>
    <s v="Travel_Frequently"/>
    <n v="562"/>
    <x v="0"/>
    <n v="8"/>
    <n v="2"/>
    <s v="Technical Degree"/>
    <n v="1"/>
    <n v="723"/>
    <n v="2"/>
    <x v="1"/>
    <n v="50"/>
    <n v="3"/>
    <n v="2"/>
    <x v="0"/>
    <x v="2"/>
    <s v="Married"/>
    <n v="6796"/>
    <n v="23452"/>
    <n v="3"/>
    <s v="Y"/>
    <s v="Yes"/>
    <n v="14"/>
    <n v="3"/>
    <n v="1"/>
    <n v="80"/>
    <n v="1"/>
    <n v="18"/>
    <n v="4"/>
    <n v="3"/>
    <n v="4"/>
    <n v="3"/>
    <n v="1"/>
    <n v="3"/>
    <x v="0"/>
    <x v="1"/>
    <x v="2"/>
  </r>
  <r>
    <n v="38"/>
    <s v="No"/>
    <s v="Travel_Rarely"/>
    <n v="827"/>
    <x v="1"/>
    <n v="1"/>
    <n v="4"/>
    <s v="Life Sciences"/>
    <n v="1"/>
    <n v="724"/>
    <n v="2"/>
    <x v="0"/>
    <n v="33"/>
    <n v="4"/>
    <n v="2"/>
    <x v="4"/>
    <x v="0"/>
    <s v="Single"/>
    <n v="7625"/>
    <n v="19383"/>
    <n v="0"/>
    <s v="Y"/>
    <s v="No"/>
    <n v="13"/>
    <n v="3"/>
    <n v="3"/>
    <n v="80"/>
    <n v="0"/>
    <n v="10"/>
    <n v="4"/>
    <n v="2"/>
    <n v="9"/>
    <n v="7"/>
    <n v="1"/>
    <n v="8"/>
    <x v="1"/>
    <x v="0"/>
    <x v="0"/>
  </r>
  <r>
    <n v="27"/>
    <s v="No"/>
    <s v="Travel_Rarely"/>
    <n v="608"/>
    <x v="1"/>
    <n v="1"/>
    <n v="2"/>
    <s v="Life Sciences"/>
    <n v="1"/>
    <n v="725"/>
    <n v="3"/>
    <x v="0"/>
    <n v="68"/>
    <n v="3"/>
    <n v="3"/>
    <x v="3"/>
    <x v="3"/>
    <s v="Married"/>
    <n v="7412"/>
    <n v="6009"/>
    <n v="1"/>
    <s v="Y"/>
    <s v="No"/>
    <n v="11"/>
    <n v="3"/>
    <n v="4"/>
    <n v="80"/>
    <n v="0"/>
    <n v="9"/>
    <n v="3"/>
    <n v="3"/>
    <n v="9"/>
    <n v="7"/>
    <n v="0"/>
    <n v="7"/>
    <x v="1"/>
    <x v="2"/>
    <x v="0"/>
  </r>
  <r>
    <n v="32"/>
    <s v="No"/>
    <s v="Travel_Rarely"/>
    <n v="1018"/>
    <x v="1"/>
    <n v="3"/>
    <n v="2"/>
    <s v="Life Sciences"/>
    <n v="1"/>
    <n v="727"/>
    <n v="3"/>
    <x v="0"/>
    <n v="39"/>
    <n v="3"/>
    <n v="3"/>
    <x v="7"/>
    <x v="0"/>
    <s v="Single"/>
    <n v="11159"/>
    <n v="19373"/>
    <n v="3"/>
    <s v="Y"/>
    <s v="No"/>
    <n v="15"/>
    <n v="3"/>
    <n v="4"/>
    <n v="80"/>
    <n v="0"/>
    <n v="10"/>
    <n v="6"/>
    <n v="3"/>
    <n v="7"/>
    <n v="7"/>
    <n v="7"/>
    <n v="7"/>
    <x v="1"/>
    <x v="2"/>
    <x v="0"/>
  </r>
  <r>
    <n v="47"/>
    <s v="No"/>
    <s v="Travel_Rarely"/>
    <n v="703"/>
    <x v="0"/>
    <n v="14"/>
    <n v="4"/>
    <s v="Marketing"/>
    <n v="1"/>
    <n v="728"/>
    <n v="4"/>
    <x v="1"/>
    <n v="42"/>
    <n v="3"/>
    <n v="2"/>
    <x v="0"/>
    <x v="3"/>
    <s v="Single"/>
    <n v="4960"/>
    <n v="11825"/>
    <n v="2"/>
    <s v="Y"/>
    <s v="No"/>
    <n v="12"/>
    <n v="3"/>
    <n v="4"/>
    <n v="80"/>
    <n v="0"/>
    <n v="20"/>
    <n v="2"/>
    <n v="3"/>
    <n v="7"/>
    <n v="7"/>
    <n v="1"/>
    <n v="7"/>
    <x v="1"/>
    <x v="1"/>
    <x v="0"/>
  </r>
  <r>
    <n v="40"/>
    <s v="No"/>
    <s v="Travel_Frequently"/>
    <n v="580"/>
    <x v="0"/>
    <n v="5"/>
    <n v="4"/>
    <s v="Life Sciences"/>
    <n v="1"/>
    <n v="729"/>
    <n v="4"/>
    <x v="1"/>
    <n v="48"/>
    <n v="2"/>
    <n v="3"/>
    <x v="0"/>
    <x v="3"/>
    <s v="Married"/>
    <n v="10475"/>
    <n v="23772"/>
    <n v="5"/>
    <s v="Y"/>
    <s v="Yes"/>
    <n v="21"/>
    <n v="4"/>
    <n v="3"/>
    <n v="80"/>
    <n v="1"/>
    <n v="20"/>
    <n v="2"/>
    <n v="3"/>
    <n v="18"/>
    <n v="13"/>
    <n v="1"/>
    <n v="12"/>
    <x v="1"/>
    <x v="0"/>
    <x v="3"/>
  </r>
  <r>
    <n v="53"/>
    <s v="No"/>
    <s v="Travel_Rarely"/>
    <n v="970"/>
    <x v="1"/>
    <n v="7"/>
    <n v="3"/>
    <s v="Life Sciences"/>
    <n v="1"/>
    <n v="730"/>
    <n v="3"/>
    <x v="1"/>
    <n v="59"/>
    <n v="4"/>
    <n v="4"/>
    <x v="7"/>
    <x v="2"/>
    <s v="Married"/>
    <n v="14814"/>
    <n v="13514"/>
    <n v="3"/>
    <s v="Y"/>
    <s v="No"/>
    <n v="19"/>
    <n v="3"/>
    <n v="3"/>
    <n v="80"/>
    <n v="0"/>
    <n v="32"/>
    <n v="3"/>
    <n v="3"/>
    <n v="5"/>
    <n v="1"/>
    <n v="1"/>
    <n v="3"/>
    <x v="1"/>
    <x v="1"/>
    <x v="2"/>
  </r>
  <r>
    <n v="41"/>
    <s v="No"/>
    <s v="Travel_Rarely"/>
    <n v="427"/>
    <x v="2"/>
    <n v="10"/>
    <n v="4"/>
    <s v="Human Resources"/>
    <n v="1"/>
    <n v="731"/>
    <n v="2"/>
    <x v="1"/>
    <n v="73"/>
    <n v="2"/>
    <n v="5"/>
    <x v="5"/>
    <x v="0"/>
    <s v="Divorced"/>
    <n v="19141"/>
    <n v="8861"/>
    <n v="3"/>
    <s v="Y"/>
    <s v="No"/>
    <n v="15"/>
    <n v="3"/>
    <n v="2"/>
    <n v="80"/>
    <n v="3"/>
    <n v="23"/>
    <n v="2"/>
    <n v="2"/>
    <n v="21"/>
    <n v="6"/>
    <n v="12"/>
    <n v="6"/>
    <x v="1"/>
    <x v="0"/>
    <x v="3"/>
  </r>
  <r>
    <n v="60"/>
    <s v="No"/>
    <s v="Travel_Rarely"/>
    <n v="1179"/>
    <x v="0"/>
    <n v="16"/>
    <n v="4"/>
    <s v="Marketing"/>
    <n v="1"/>
    <n v="732"/>
    <n v="1"/>
    <x v="1"/>
    <n v="84"/>
    <n v="3"/>
    <n v="2"/>
    <x v="0"/>
    <x v="3"/>
    <s v="Single"/>
    <n v="5405"/>
    <n v="11924"/>
    <n v="8"/>
    <s v="Y"/>
    <s v="No"/>
    <n v="14"/>
    <n v="3"/>
    <n v="4"/>
    <n v="80"/>
    <n v="0"/>
    <n v="10"/>
    <n v="1"/>
    <n v="3"/>
    <n v="2"/>
    <n v="2"/>
    <n v="2"/>
    <n v="2"/>
    <x v="1"/>
    <x v="1"/>
    <x v="1"/>
  </r>
  <r>
    <n v="27"/>
    <s v="No"/>
    <s v="Travel_Frequently"/>
    <n v="294"/>
    <x v="1"/>
    <n v="10"/>
    <n v="2"/>
    <s v="Life Sciences"/>
    <n v="1"/>
    <n v="733"/>
    <n v="4"/>
    <x v="1"/>
    <n v="32"/>
    <n v="3"/>
    <n v="3"/>
    <x v="3"/>
    <x v="3"/>
    <s v="Divorced"/>
    <n v="8793"/>
    <n v="4809"/>
    <n v="1"/>
    <s v="Y"/>
    <s v="No"/>
    <n v="21"/>
    <n v="4"/>
    <n v="3"/>
    <n v="80"/>
    <n v="2"/>
    <n v="9"/>
    <n v="4"/>
    <n v="2"/>
    <n v="9"/>
    <n v="7"/>
    <n v="1"/>
    <n v="7"/>
    <x v="1"/>
    <x v="2"/>
    <x v="0"/>
  </r>
  <r>
    <n v="41"/>
    <s v="No"/>
    <s v="Travel_Rarely"/>
    <n v="314"/>
    <x v="2"/>
    <n v="1"/>
    <n v="3"/>
    <s v="Human Resources"/>
    <n v="1"/>
    <n v="734"/>
    <n v="4"/>
    <x v="1"/>
    <n v="59"/>
    <n v="2"/>
    <n v="5"/>
    <x v="5"/>
    <x v="2"/>
    <s v="Married"/>
    <n v="19189"/>
    <n v="19562"/>
    <n v="1"/>
    <s v="Y"/>
    <s v="No"/>
    <n v="12"/>
    <n v="3"/>
    <n v="2"/>
    <n v="80"/>
    <n v="1"/>
    <n v="22"/>
    <n v="3"/>
    <n v="3"/>
    <n v="22"/>
    <n v="7"/>
    <n v="2"/>
    <n v="10"/>
    <x v="1"/>
    <x v="0"/>
    <x v="3"/>
  </r>
  <r>
    <n v="50"/>
    <s v="No"/>
    <s v="Travel_Rarely"/>
    <n v="316"/>
    <x v="0"/>
    <n v="8"/>
    <n v="4"/>
    <s v="Marketing"/>
    <n v="1"/>
    <n v="738"/>
    <n v="4"/>
    <x v="1"/>
    <n v="54"/>
    <n v="3"/>
    <n v="1"/>
    <x v="6"/>
    <x v="1"/>
    <s v="Married"/>
    <n v="3875"/>
    <n v="9983"/>
    <n v="7"/>
    <s v="Y"/>
    <s v="No"/>
    <n v="15"/>
    <n v="3"/>
    <n v="4"/>
    <n v="80"/>
    <n v="1"/>
    <n v="4"/>
    <n v="2"/>
    <n v="3"/>
    <n v="2"/>
    <n v="2"/>
    <n v="2"/>
    <n v="2"/>
    <x v="1"/>
    <x v="1"/>
    <x v="1"/>
  </r>
  <r>
    <n v="28"/>
    <s v="Yes"/>
    <s v="Travel_Rarely"/>
    <n v="654"/>
    <x v="1"/>
    <n v="1"/>
    <n v="2"/>
    <s v="Life Sciences"/>
    <n v="1"/>
    <n v="741"/>
    <n v="1"/>
    <x v="0"/>
    <n v="67"/>
    <n v="1"/>
    <n v="1"/>
    <x v="1"/>
    <x v="1"/>
    <s v="Single"/>
    <n v="2216"/>
    <n v="3872"/>
    <n v="7"/>
    <s v="Y"/>
    <s v="Yes"/>
    <n v="13"/>
    <n v="3"/>
    <n v="4"/>
    <n v="80"/>
    <n v="0"/>
    <n v="10"/>
    <n v="4"/>
    <n v="3"/>
    <n v="7"/>
    <n v="7"/>
    <n v="3"/>
    <n v="7"/>
    <x v="0"/>
    <x v="2"/>
    <x v="0"/>
  </r>
  <r>
    <n v="36"/>
    <s v="No"/>
    <s v="Non-Travel"/>
    <n v="427"/>
    <x v="1"/>
    <n v="8"/>
    <n v="3"/>
    <s v="Life Sciences"/>
    <n v="1"/>
    <n v="742"/>
    <n v="1"/>
    <x v="0"/>
    <n v="63"/>
    <n v="4"/>
    <n v="3"/>
    <x v="7"/>
    <x v="3"/>
    <s v="Married"/>
    <n v="11713"/>
    <n v="20335"/>
    <n v="9"/>
    <s v="Y"/>
    <s v="No"/>
    <n v="14"/>
    <n v="3"/>
    <n v="1"/>
    <n v="80"/>
    <n v="1"/>
    <n v="10"/>
    <n v="2"/>
    <n v="3"/>
    <n v="8"/>
    <n v="7"/>
    <n v="0"/>
    <n v="5"/>
    <x v="1"/>
    <x v="0"/>
    <x v="0"/>
  </r>
  <r>
    <n v="38"/>
    <s v="No"/>
    <s v="Travel_Rarely"/>
    <n v="168"/>
    <x v="1"/>
    <n v="1"/>
    <n v="3"/>
    <s v="Life Sciences"/>
    <n v="1"/>
    <n v="743"/>
    <n v="3"/>
    <x v="0"/>
    <n v="81"/>
    <n v="3"/>
    <n v="3"/>
    <x v="3"/>
    <x v="2"/>
    <s v="Single"/>
    <n v="7861"/>
    <n v="15397"/>
    <n v="4"/>
    <s v="Y"/>
    <s v="Yes"/>
    <n v="14"/>
    <n v="3"/>
    <n v="4"/>
    <n v="80"/>
    <n v="0"/>
    <n v="10"/>
    <n v="4"/>
    <n v="4"/>
    <n v="1"/>
    <n v="0"/>
    <n v="0"/>
    <n v="0"/>
    <x v="1"/>
    <x v="0"/>
    <x v="1"/>
  </r>
  <r>
    <n v="44"/>
    <s v="No"/>
    <s v="Non-Travel"/>
    <n v="381"/>
    <x v="1"/>
    <n v="24"/>
    <n v="3"/>
    <s v="Medical"/>
    <n v="1"/>
    <n v="744"/>
    <n v="1"/>
    <x v="1"/>
    <n v="49"/>
    <n v="1"/>
    <n v="1"/>
    <x v="2"/>
    <x v="2"/>
    <s v="Single"/>
    <n v="3708"/>
    <n v="2104"/>
    <n v="2"/>
    <s v="Y"/>
    <s v="No"/>
    <n v="14"/>
    <n v="3"/>
    <n v="3"/>
    <n v="80"/>
    <n v="0"/>
    <n v="9"/>
    <n v="5"/>
    <n v="3"/>
    <n v="5"/>
    <n v="2"/>
    <n v="1"/>
    <n v="4"/>
    <x v="1"/>
    <x v="0"/>
    <x v="2"/>
  </r>
  <r>
    <n v="47"/>
    <s v="No"/>
    <s v="Travel_Frequently"/>
    <n v="217"/>
    <x v="0"/>
    <n v="3"/>
    <n v="3"/>
    <s v="Medical"/>
    <n v="1"/>
    <n v="746"/>
    <n v="4"/>
    <x v="0"/>
    <n v="49"/>
    <n v="3"/>
    <n v="4"/>
    <x v="0"/>
    <x v="2"/>
    <s v="Divorced"/>
    <n v="13770"/>
    <n v="10225"/>
    <n v="9"/>
    <s v="Y"/>
    <s v="Yes"/>
    <n v="12"/>
    <n v="3"/>
    <n v="4"/>
    <n v="80"/>
    <n v="2"/>
    <n v="28"/>
    <n v="2"/>
    <n v="2"/>
    <n v="22"/>
    <n v="2"/>
    <n v="11"/>
    <n v="13"/>
    <x v="1"/>
    <x v="1"/>
    <x v="3"/>
  </r>
  <r>
    <n v="30"/>
    <s v="No"/>
    <s v="Travel_Rarely"/>
    <n v="501"/>
    <x v="0"/>
    <n v="27"/>
    <n v="5"/>
    <s v="Marketing"/>
    <n v="1"/>
    <n v="747"/>
    <n v="3"/>
    <x v="1"/>
    <n v="99"/>
    <n v="3"/>
    <n v="2"/>
    <x v="0"/>
    <x v="0"/>
    <s v="Divorced"/>
    <n v="5304"/>
    <n v="25275"/>
    <n v="7"/>
    <s v="Y"/>
    <s v="No"/>
    <n v="23"/>
    <n v="4"/>
    <n v="4"/>
    <n v="80"/>
    <n v="1"/>
    <n v="10"/>
    <n v="2"/>
    <n v="2"/>
    <n v="8"/>
    <n v="7"/>
    <n v="7"/>
    <n v="7"/>
    <x v="1"/>
    <x v="2"/>
    <x v="0"/>
  </r>
  <r>
    <n v="29"/>
    <s v="No"/>
    <s v="Travel_Rarely"/>
    <n v="1396"/>
    <x v="0"/>
    <n v="10"/>
    <n v="3"/>
    <s v="Life Sciences"/>
    <n v="1"/>
    <n v="749"/>
    <n v="3"/>
    <x v="1"/>
    <n v="99"/>
    <n v="3"/>
    <n v="1"/>
    <x v="6"/>
    <x v="2"/>
    <s v="Single"/>
    <n v="2642"/>
    <n v="2755"/>
    <n v="1"/>
    <s v="Y"/>
    <s v="No"/>
    <n v="11"/>
    <n v="3"/>
    <n v="3"/>
    <n v="80"/>
    <n v="0"/>
    <n v="1"/>
    <n v="6"/>
    <n v="3"/>
    <n v="1"/>
    <n v="0"/>
    <n v="0"/>
    <n v="0"/>
    <x v="1"/>
    <x v="2"/>
    <x v="1"/>
  </r>
  <r>
    <n v="42"/>
    <s v="Yes"/>
    <s v="Travel_Frequently"/>
    <n v="933"/>
    <x v="1"/>
    <n v="19"/>
    <n v="3"/>
    <s v="Medical"/>
    <n v="1"/>
    <n v="752"/>
    <n v="3"/>
    <x v="1"/>
    <n v="57"/>
    <n v="4"/>
    <n v="1"/>
    <x v="1"/>
    <x v="2"/>
    <s v="Divorced"/>
    <n v="2759"/>
    <n v="20366"/>
    <n v="6"/>
    <s v="Y"/>
    <s v="Yes"/>
    <n v="12"/>
    <n v="3"/>
    <n v="4"/>
    <n v="80"/>
    <n v="0"/>
    <n v="7"/>
    <n v="2"/>
    <n v="3"/>
    <n v="2"/>
    <n v="2"/>
    <n v="2"/>
    <n v="2"/>
    <x v="0"/>
    <x v="0"/>
    <x v="1"/>
  </r>
  <r>
    <n v="43"/>
    <s v="No"/>
    <s v="Travel_Frequently"/>
    <n v="775"/>
    <x v="0"/>
    <n v="15"/>
    <n v="3"/>
    <s v="Life Sciences"/>
    <n v="1"/>
    <n v="754"/>
    <n v="4"/>
    <x v="1"/>
    <n v="47"/>
    <n v="2"/>
    <n v="2"/>
    <x v="0"/>
    <x v="0"/>
    <s v="Married"/>
    <n v="6804"/>
    <n v="23683"/>
    <n v="3"/>
    <s v="Y"/>
    <s v="No"/>
    <n v="18"/>
    <n v="3"/>
    <n v="3"/>
    <n v="80"/>
    <n v="1"/>
    <n v="7"/>
    <n v="5"/>
    <n v="3"/>
    <n v="2"/>
    <n v="2"/>
    <n v="2"/>
    <n v="2"/>
    <x v="1"/>
    <x v="0"/>
    <x v="1"/>
  </r>
  <r>
    <n v="34"/>
    <s v="No"/>
    <s v="Travel_Rarely"/>
    <n v="970"/>
    <x v="1"/>
    <n v="8"/>
    <n v="2"/>
    <s v="Medical"/>
    <n v="1"/>
    <n v="757"/>
    <n v="2"/>
    <x v="0"/>
    <n v="96"/>
    <n v="3"/>
    <n v="2"/>
    <x v="4"/>
    <x v="2"/>
    <s v="Single"/>
    <n v="6142"/>
    <n v="7360"/>
    <n v="3"/>
    <s v="Y"/>
    <s v="No"/>
    <n v="11"/>
    <n v="3"/>
    <n v="4"/>
    <n v="80"/>
    <n v="0"/>
    <n v="10"/>
    <n v="2"/>
    <n v="3"/>
    <n v="5"/>
    <n v="1"/>
    <n v="4"/>
    <n v="3"/>
    <x v="1"/>
    <x v="2"/>
    <x v="2"/>
  </r>
  <r>
    <n v="23"/>
    <s v="No"/>
    <s v="Travel_Rarely"/>
    <n v="650"/>
    <x v="1"/>
    <n v="9"/>
    <n v="1"/>
    <s v="Medical"/>
    <n v="1"/>
    <n v="758"/>
    <n v="2"/>
    <x v="1"/>
    <n v="37"/>
    <n v="3"/>
    <n v="1"/>
    <x v="2"/>
    <x v="3"/>
    <s v="Married"/>
    <n v="2500"/>
    <n v="4344"/>
    <n v="1"/>
    <s v="Y"/>
    <s v="No"/>
    <n v="14"/>
    <n v="3"/>
    <n v="4"/>
    <n v="80"/>
    <n v="1"/>
    <n v="5"/>
    <n v="2"/>
    <n v="4"/>
    <n v="4"/>
    <n v="3"/>
    <n v="0"/>
    <n v="2"/>
    <x v="1"/>
    <x v="3"/>
    <x v="2"/>
  </r>
  <r>
    <n v="39"/>
    <s v="No"/>
    <s v="Travel_Rarely"/>
    <n v="141"/>
    <x v="2"/>
    <n v="3"/>
    <n v="3"/>
    <s v="Human Resources"/>
    <n v="1"/>
    <n v="760"/>
    <n v="3"/>
    <x v="0"/>
    <n v="44"/>
    <n v="4"/>
    <n v="2"/>
    <x v="8"/>
    <x v="1"/>
    <s v="Married"/>
    <n v="6389"/>
    <n v="18767"/>
    <n v="9"/>
    <s v="Y"/>
    <s v="No"/>
    <n v="15"/>
    <n v="3"/>
    <n v="3"/>
    <n v="80"/>
    <n v="1"/>
    <n v="12"/>
    <n v="3"/>
    <n v="1"/>
    <n v="8"/>
    <n v="3"/>
    <n v="3"/>
    <n v="6"/>
    <x v="1"/>
    <x v="0"/>
    <x v="0"/>
  </r>
  <r>
    <n v="56"/>
    <s v="No"/>
    <s v="Travel_Rarely"/>
    <n v="832"/>
    <x v="1"/>
    <n v="9"/>
    <n v="3"/>
    <s v="Medical"/>
    <n v="1"/>
    <n v="762"/>
    <n v="3"/>
    <x v="1"/>
    <n v="81"/>
    <n v="3"/>
    <n v="4"/>
    <x v="4"/>
    <x v="0"/>
    <s v="Married"/>
    <n v="11103"/>
    <n v="20420"/>
    <n v="7"/>
    <s v="Y"/>
    <s v="No"/>
    <n v="11"/>
    <n v="3"/>
    <n v="3"/>
    <n v="80"/>
    <n v="0"/>
    <n v="30"/>
    <n v="1"/>
    <n v="2"/>
    <n v="10"/>
    <n v="7"/>
    <n v="1"/>
    <n v="1"/>
    <x v="1"/>
    <x v="1"/>
    <x v="0"/>
  </r>
  <r>
    <n v="40"/>
    <s v="No"/>
    <s v="Travel_Rarely"/>
    <n v="804"/>
    <x v="1"/>
    <n v="2"/>
    <n v="1"/>
    <s v="Medical"/>
    <n v="1"/>
    <n v="763"/>
    <n v="4"/>
    <x v="0"/>
    <n v="86"/>
    <n v="2"/>
    <n v="1"/>
    <x v="1"/>
    <x v="0"/>
    <s v="Single"/>
    <n v="2342"/>
    <n v="22929"/>
    <n v="0"/>
    <s v="Y"/>
    <s v="Yes"/>
    <n v="20"/>
    <n v="4"/>
    <n v="4"/>
    <n v="80"/>
    <n v="0"/>
    <n v="5"/>
    <n v="2"/>
    <n v="2"/>
    <n v="4"/>
    <n v="2"/>
    <n v="2"/>
    <n v="3"/>
    <x v="1"/>
    <x v="0"/>
    <x v="2"/>
  </r>
  <r>
    <n v="27"/>
    <s v="No"/>
    <s v="Travel_Rarely"/>
    <n v="975"/>
    <x v="1"/>
    <n v="7"/>
    <n v="3"/>
    <s v="Medical"/>
    <n v="1"/>
    <n v="764"/>
    <n v="4"/>
    <x v="0"/>
    <n v="55"/>
    <n v="2"/>
    <n v="2"/>
    <x v="4"/>
    <x v="3"/>
    <s v="Single"/>
    <n v="6811"/>
    <n v="23398"/>
    <n v="8"/>
    <s v="Y"/>
    <s v="No"/>
    <n v="19"/>
    <n v="3"/>
    <n v="1"/>
    <n v="80"/>
    <n v="0"/>
    <n v="9"/>
    <n v="2"/>
    <n v="1"/>
    <n v="7"/>
    <n v="6"/>
    <n v="0"/>
    <n v="7"/>
    <x v="1"/>
    <x v="2"/>
    <x v="0"/>
  </r>
  <r>
    <n v="29"/>
    <s v="No"/>
    <s v="Travel_Rarely"/>
    <n v="1090"/>
    <x v="0"/>
    <n v="10"/>
    <n v="3"/>
    <s v="Marketing"/>
    <n v="1"/>
    <n v="766"/>
    <n v="4"/>
    <x v="1"/>
    <n v="83"/>
    <n v="3"/>
    <n v="1"/>
    <x v="6"/>
    <x v="1"/>
    <s v="Divorced"/>
    <n v="2297"/>
    <n v="17967"/>
    <n v="1"/>
    <s v="Y"/>
    <s v="No"/>
    <n v="14"/>
    <n v="3"/>
    <n v="4"/>
    <n v="80"/>
    <n v="2"/>
    <n v="2"/>
    <n v="2"/>
    <n v="3"/>
    <n v="2"/>
    <n v="2"/>
    <n v="2"/>
    <n v="2"/>
    <x v="1"/>
    <x v="2"/>
    <x v="1"/>
  </r>
  <r>
    <n v="53"/>
    <s v="No"/>
    <s v="Travel_Rarely"/>
    <n v="346"/>
    <x v="1"/>
    <n v="6"/>
    <n v="3"/>
    <s v="Life Sciences"/>
    <n v="1"/>
    <n v="769"/>
    <n v="4"/>
    <x v="1"/>
    <n v="86"/>
    <n v="3"/>
    <n v="2"/>
    <x v="2"/>
    <x v="0"/>
    <s v="Single"/>
    <n v="2450"/>
    <n v="10919"/>
    <n v="2"/>
    <s v="Y"/>
    <s v="No"/>
    <n v="17"/>
    <n v="3"/>
    <n v="4"/>
    <n v="80"/>
    <n v="0"/>
    <n v="19"/>
    <n v="4"/>
    <n v="3"/>
    <n v="2"/>
    <n v="2"/>
    <n v="2"/>
    <n v="2"/>
    <x v="1"/>
    <x v="1"/>
    <x v="1"/>
  </r>
  <r>
    <n v="35"/>
    <s v="No"/>
    <s v="Non-Travel"/>
    <n v="1225"/>
    <x v="1"/>
    <n v="2"/>
    <n v="4"/>
    <s v="Life Sciences"/>
    <n v="1"/>
    <n v="771"/>
    <n v="4"/>
    <x v="0"/>
    <n v="61"/>
    <n v="3"/>
    <n v="2"/>
    <x v="4"/>
    <x v="3"/>
    <s v="Divorced"/>
    <n v="5093"/>
    <n v="4761"/>
    <n v="2"/>
    <s v="Y"/>
    <s v="No"/>
    <n v="11"/>
    <n v="3"/>
    <n v="1"/>
    <n v="80"/>
    <n v="1"/>
    <n v="16"/>
    <n v="2"/>
    <n v="4"/>
    <n v="1"/>
    <n v="0"/>
    <n v="0"/>
    <n v="0"/>
    <x v="1"/>
    <x v="2"/>
    <x v="1"/>
  </r>
  <r>
    <n v="32"/>
    <s v="No"/>
    <s v="Travel_Frequently"/>
    <n v="430"/>
    <x v="1"/>
    <n v="24"/>
    <n v="4"/>
    <s v="Life Sciences"/>
    <n v="1"/>
    <n v="772"/>
    <n v="1"/>
    <x v="1"/>
    <n v="80"/>
    <n v="3"/>
    <n v="2"/>
    <x v="2"/>
    <x v="0"/>
    <s v="Married"/>
    <n v="5309"/>
    <n v="21146"/>
    <n v="1"/>
    <s v="Y"/>
    <s v="No"/>
    <n v="15"/>
    <n v="3"/>
    <n v="4"/>
    <n v="80"/>
    <n v="2"/>
    <n v="10"/>
    <n v="2"/>
    <n v="3"/>
    <n v="10"/>
    <n v="8"/>
    <n v="4"/>
    <n v="7"/>
    <x v="1"/>
    <x v="2"/>
    <x v="0"/>
  </r>
  <r>
    <n v="38"/>
    <s v="No"/>
    <s v="Travel_Rarely"/>
    <n v="268"/>
    <x v="1"/>
    <n v="2"/>
    <n v="5"/>
    <s v="Medical"/>
    <n v="1"/>
    <n v="773"/>
    <n v="4"/>
    <x v="1"/>
    <n v="92"/>
    <n v="3"/>
    <n v="1"/>
    <x v="1"/>
    <x v="2"/>
    <s v="Married"/>
    <n v="3057"/>
    <n v="20471"/>
    <n v="6"/>
    <s v="Y"/>
    <s v="Yes"/>
    <n v="13"/>
    <n v="3"/>
    <n v="2"/>
    <n v="80"/>
    <n v="1"/>
    <n v="6"/>
    <n v="0"/>
    <n v="1"/>
    <n v="1"/>
    <n v="0"/>
    <n v="0"/>
    <n v="1"/>
    <x v="1"/>
    <x v="0"/>
    <x v="1"/>
  </r>
  <r>
    <n v="34"/>
    <s v="No"/>
    <s v="Travel_Rarely"/>
    <n v="167"/>
    <x v="1"/>
    <n v="8"/>
    <n v="5"/>
    <s v="Life Sciences"/>
    <n v="1"/>
    <n v="775"/>
    <n v="2"/>
    <x v="0"/>
    <n v="32"/>
    <n v="3"/>
    <n v="2"/>
    <x v="3"/>
    <x v="3"/>
    <s v="Divorced"/>
    <n v="5121"/>
    <n v="4187"/>
    <n v="3"/>
    <s v="Y"/>
    <s v="No"/>
    <n v="14"/>
    <n v="3"/>
    <n v="3"/>
    <n v="80"/>
    <n v="1"/>
    <n v="7"/>
    <n v="3"/>
    <n v="3"/>
    <n v="0"/>
    <n v="0"/>
    <n v="0"/>
    <n v="0"/>
    <x v="1"/>
    <x v="2"/>
    <x v="1"/>
  </r>
  <r>
    <n v="52"/>
    <s v="No"/>
    <s v="Travel_Rarely"/>
    <n v="621"/>
    <x v="0"/>
    <n v="3"/>
    <n v="4"/>
    <s v="Marketing"/>
    <n v="1"/>
    <n v="776"/>
    <n v="3"/>
    <x v="1"/>
    <n v="31"/>
    <n v="2"/>
    <n v="4"/>
    <x v="5"/>
    <x v="3"/>
    <s v="Married"/>
    <n v="16856"/>
    <n v="10084"/>
    <n v="1"/>
    <s v="Y"/>
    <s v="No"/>
    <n v="11"/>
    <n v="3"/>
    <n v="1"/>
    <n v="80"/>
    <n v="0"/>
    <n v="34"/>
    <n v="3"/>
    <n v="4"/>
    <n v="34"/>
    <n v="6"/>
    <n v="1"/>
    <n v="16"/>
    <x v="1"/>
    <x v="1"/>
    <x v="3"/>
  </r>
  <r>
    <n v="33"/>
    <s v="Yes"/>
    <s v="Travel_Rarely"/>
    <n v="527"/>
    <x v="1"/>
    <n v="1"/>
    <n v="4"/>
    <s v="Other"/>
    <n v="1"/>
    <n v="780"/>
    <n v="4"/>
    <x v="1"/>
    <n v="63"/>
    <n v="3"/>
    <n v="1"/>
    <x v="1"/>
    <x v="0"/>
    <s v="Single"/>
    <n v="2686"/>
    <n v="5207"/>
    <n v="1"/>
    <s v="Y"/>
    <s v="Yes"/>
    <n v="13"/>
    <n v="3"/>
    <n v="3"/>
    <n v="80"/>
    <n v="0"/>
    <n v="10"/>
    <n v="2"/>
    <n v="2"/>
    <n v="10"/>
    <n v="9"/>
    <n v="7"/>
    <n v="8"/>
    <x v="0"/>
    <x v="2"/>
    <x v="0"/>
  </r>
  <r>
    <n v="25"/>
    <s v="No"/>
    <s v="Travel_Rarely"/>
    <n v="883"/>
    <x v="0"/>
    <n v="26"/>
    <n v="1"/>
    <s v="Medical"/>
    <n v="1"/>
    <n v="781"/>
    <n v="3"/>
    <x v="0"/>
    <n v="32"/>
    <n v="3"/>
    <n v="2"/>
    <x v="0"/>
    <x v="0"/>
    <s v="Single"/>
    <n v="6180"/>
    <n v="22807"/>
    <n v="1"/>
    <s v="Y"/>
    <s v="No"/>
    <n v="23"/>
    <n v="4"/>
    <n v="2"/>
    <n v="80"/>
    <n v="0"/>
    <n v="6"/>
    <n v="5"/>
    <n v="2"/>
    <n v="6"/>
    <n v="5"/>
    <n v="1"/>
    <n v="4"/>
    <x v="1"/>
    <x v="3"/>
    <x v="0"/>
  </r>
  <r>
    <n v="45"/>
    <s v="No"/>
    <s v="Travel_Rarely"/>
    <n v="954"/>
    <x v="0"/>
    <n v="2"/>
    <n v="2"/>
    <s v="Technical Degree"/>
    <n v="1"/>
    <n v="783"/>
    <n v="2"/>
    <x v="1"/>
    <n v="46"/>
    <n v="1"/>
    <n v="2"/>
    <x v="6"/>
    <x v="2"/>
    <s v="Single"/>
    <n v="6632"/>
    <n v="12388"/>
    <n v="0"/>
    <s v="Y"/>
    <s v="No"/>
    <n v="13"/>
    <n v="3"/>
    <n v="1"/>
    <n v="80"/>
    <n v="0"/>
    <n v="9"/>
    <n v="3"/>
    <n v="3"/>
    <n v="8"/>
    <n v="7"/>
    <n v="3"/>
    <n v="1"/>
    <x v="1"/>
    <x v="0"/>
    <x v="0"/>
  </r>
  <r>
    <n v="23"/>
    <s v="No"/>
    <s v="Travel_Rarely"/>
    <n v="310"/>
    <x v="1"/>
    <n v="10"/>
    <n v="1"/>
    <s v="Medical"/>
    <n v="1"/>
    <n v="784"/>
    <n v="1"/>
    <x v="1"/>
    <n v="79"/>
    <n v="4"/>
    <n v="1"/>
    <x v="1"/>
    <x v="2"/>
    <s v="Single"/>
    <n v="3505"/>
    <n v="19630"/>
    <n v="1"/>
    <s v="Y"/>
    <s v="No"/>
    <n v="18"/>
    <n v="3"/>
    <n v="4"/>
    <n v="80"/>
    <n v="0"/>
    <n v="2"/>
    <n v="3"/>
    <n v="3"/>
    <n v="2"/>
    <n v="2"/>
    <n v="0"/>
    <n v="2"/>
    <x v="1"/>
    <x v="3"/>
    <x v="1"/>
  </r>
  <r>
    <n v="47"/>
    <s v="Yes"/>
    <s v="Travel_Frequently"/>
    <n v="719"/>
    <x v="0"/>
    <n v="27"/>
    <n v="2"/>
    <s v="Life Sciences"/>
    <n v="1"/>
    <n v="785"/>
    <n v="2"/>
    <x v="0"/>
    <n v="77"/>
    <n v="4"/>
    <n v="2"/>
    <x v="0"/>
    <x v="2"/>
    <s v="Single"/>
    <n v="6397"/>
    <n v="10339"/>
    <n v="4"/>
    <s v="Y"/>
    <s v="Yes"/>
    <n v="12"/>
    <n v="3"/>
    <n v="4"/>
    <n v="80"/>
    <n v="0"/>
    <n v="8"/>
    <n v="2"/>
    <n v="3"/>
    <n v="5"/>
    <n v="4"/>
    <n v="1"/>
    <n v="3"/>
    <x v="0"/>
    <x v="1"/>
    <x v="2"/>
  </r>
  <r>
    <n v="34"/>
    <s v="No"/>
    <s v="Travel_Rarely"/>
    <n v="304"/>
    <x v="0"/>
    <n v="2"/>
    <n v="3"/>
    <s v="Other"/>
    <n v="1"/>
    <n v="786"/>
    <n v="4"/>
    <x v="1"/>
    <n v="60"/>
    <n v="3"/>
    <n v="2"/>
    <x v="0"/>
    <x v="0"/>
    <s v="Single"/>
    <n v="6274"/>
    <n v="18686"/>
    <n v="1"/>
    <s v="Y"/>
    <s v="No"/>
    <n v="22"/>
    <n v="4"/>
    <n v="3"/>
    <n v="80"/>
    <n v="0"/>
    <n v="6"/>
    <n v="5"/>
    <n v="3"/>
    <n v="6"/>
    <n v="5"/>
    <n v="1"/>
    <n v="4"/>
    <x v="1"/>
    <x v="2"/>
    <x v="0"/>
  </r>
  <r>
    <n v="55"/>
    <s v="Yes"/>
    <s v="Travel_Rarely"/>
    <n v="725"/>
    <x v="1"/>
    <n v="2"/>
    <n v="3"/>
    <s v="Medical"/>
    <n v="1"/>
    <n v="787"/>
    <n v="4"/>
    <x v="1"/>
    <n v="78"/>
    <n v="3"/>
    <n v="5"/>
    <x v="5"/>
    <x v="3"/>
    <s v="Married"/>
    <n v="19859"/>
    <n v="21199"/>
    <n v="5"/>
    <s v="Y"/>
    <s v="Yes"/>
    <n v="13"/>
    <n v="3"/>
    <n v="4"/>
    <n v="80"/>
    <n v="1"/>
    <n v="24"/>
    <n v="2"/>
    <n v="3"/>
    <n v="5"/>
    <n v="2"/>
    <n v="1"/>
    <n v="4"/>
    <x v="0"/>
    <x v="1"/>
    <x v="2"/>
  </r>
  <r>
    <n v="36"/>
    <s v="No"/>
    <s v="Non-Travel"/>
    <n v="1434"/>
    <x v="0"/>
    <n v="8"/>
    <n v="4"/>
    <s v="Life Sciences"/>
    <n v="1"/>
    <n v="789"/>
    <n v="1"/>
    <x v="1"/>
    <n v="76"/>
    <n v="2"/>
    <n v="3"/>
    <x v="0"/>
    <x v="3"/>
    <s v="Single"/>
    <n v="7587"/>
    <n v="14229"/>
    <n v="1"/>
    <s v="Y"/>
    <s v="No"/>
    <n v="15"/>
    <n v="3"/>
    <n v="2"/>
    <n v="80"/>
    <n v="0"/>
    <n v="10"/>
    <n v="1"/>
    <n v="3"/>
    <n v="10"/>
    <n v="7"/>
    <n v="0"/>
    <n v="9"/>
    <x v="1"/>
    <x v="0"/>
    <x v="0"/>
  </r>
  <r>
    <n v="52"/>
    <s v="No"/>
    <s v="Non-Travel"/>
    <n v="715"/>
    <x v="1"/>
    <n v="19"/>
    <n v="4"/>
    <s v="Medical"/>
    <n v="1"/>
    <n v="791"/>
    <n v="4"/>
    <x v="1"/>
    <n v="41"/>
    <n v="3"/>
    <n v="1"/>
    <x v="1"/>
    <x v="0"/>
    <s v="Married"/>
    <n v="4258"/>
    <n v="26589"/>
    <n v="0"/>
    <s v="Y"/>
    <s v="No"/>
    <n v="18"/>
    <n v="3"/>
    <n v="1"/>
    <n v="80"/>
    <n v="1"/>
    <n v="5"/>
    <n v="3"/>
    <n v="3"/>
    <n v="4"/>
    <n v="3"/>
    <n v="1"/>
    <n v="2"/>
    <x v="1"/>
    <x v="1"/>
    <x v="2"/>
  </r>
  <r>
    <n v="26"/>
    <s v="No"/>
    <s v="Travel_Frequently"/>
    <n v="575"/>
    <x v="1"/>
    <n v="1"/>
    <n v="2"/>
    <s v="Life Sciences"/>
    <n v="1"/>
    <n v="792"/>
    <n v="1"/>
    <x v="0"/>
    <n v="71"/>
    <n v="1"/>
    <n v="1"/>
    <x v="2"/>
    <x v="0"/>
    <s v="Divorced"/>
    <n v="4364"/>
    <n v="5288"/>
    <n v="3"/>
    <s v="Y"/>
    <s v="No"/>
    <n v="14"/>
    <n v="3"/>
    <n v="1"/>
    <n v="80"/>
    <n v="1"/>
    <n v="5"/>
    <n v="2"/>
    <n v="3"/>
    <n v="2"/>
    <n v="2"/>
    <n v="2"/>
    <n v="0"/>
    <x v="1"/>
    <x v="2"/>
    <x v="1"/>
  </r>
  <r>
    <n v="29"/>
    <s v="No"/>
    <s v="Travel_Rarely"/>
    <n v="657"/>
    <x v="1"/>
    <n v="27"/>
    <n v="3"/>
    <s v="Medical"/>
    <n v="1"/>
    <n v="793"/>
    <n v="2"/>
    <x v="0"/>
    <n v="66"/>
    <n v="3"/>
    <n v="2"/>
    <x v="4"/>
    <x v="2"/>
    <s v="Married"/>
    <n v="4335"/>
    <n v="25549"/>
    <n v="4"/>
    <s v="Y"/>
    <s v="No"/>
    <n v="12"/>
    <n v="3"/>
    <n v="1"/>
    <n v="80"/>
    <n v="1"/>
    <n v="11"/>
    <n v="3"/>
    <n v="2"/>
    <n v="8"/>
    <n v="7"/>
    <n v="1"/>
    <n v="1"/>
    <x v="1"/>
    <x v="2"/>
    <x v="0"/>
  </r>
  <r>
    <n v="26"/>
    <s v="Yes"/>
    <s v="Travel_Rarely"/>
    <n v="1146"/>
    <x v="0"/>
    <n v="8"/>
    <n v="3"/>
    <s v="Technical Degree"/>
    <n v="1"/>
    <n v="796"/>
    <n v="4"/>
    <x v="1"/>
    <n v="38"/>
    <n v="2"/>
    <n v="2"/>
    <x v="0"/>
    <x v="3"/>
    <s v="Single"/>
    <n v="5326"/>
    <n v="3064"/>
    <n v="6"/>
    <s v="Y"/>
    <s v="No"/>
    <n v="17"/>
    <n v="3"/>
    <n v="3"/>
    <n v="80"/>
    <n v="0"/>
    <n v="6"/>
    <n v="2"/>
    <n v="2"/>
    <n v="4"/>
    <n v="3"/>
    <n v="1"/>
    <n v="2"/>
    <x v="0"/>
    <x v="2"/>
    <x v="2"/>
  </r>
  <r>
    <n v="34"/>
    <s v="No"/>
    <s v="Travel_Rarely"/>
    <n v="182"/>
    <x v="1"/>
    <n v="1"/>
    <n v="4"/>
    <s v="Life Sciences"/>
    <n v="1"/>
    <n v="797"/>
    <n v="2"/>
    <x v="0"/>
    <n v="72"/>
    <n v="4"/>
    <n v="1"/>
    <x v="1"/>
    <x v="0"/>
    <s v="Single"/>
    <n v="3280"/>
    <n v="13551"/>
    <n v="2"/>
    <s v="Y"/>
    <s v="No"/>
    <n v="16"/>
    <n v="3"/>
    <n v="3"/>
    <n v="80"/>
    <n v="0"/>
    <n v="10"/>
    <n v="2"/>
    <n v="3"/>
    <n v="4"/>
    <n v="2"/>
    <n v="1"/>
    <n v="3"/>
    <x v="1"/>
    <x v="2"/>
    <x v="2"/>
  </r>
  <r>
    <n v="54"/>
    <s v="No"/>
    <s v="Travel_Rarely"/>
    <n v="376"/>
    <x v="1"/>
    <n v="19"/>
    <n v="4"/>
    <s v="Medical"/>
    <n v="1"/>
    <n v="799"/>
    <n v="4"/>
    <x v="0"/>
    <n v="95"/>
    <n v="3"/>
    <n v="2"/>
    <x v="3"/>
    <x v="3"/>
    <s v="Divorced"/>
    <n v="5485"/>
    <n v="22670"/>
    <n v="9"/>
    <s v="Y"/>
    <s v="Yes"/>
    <n v="11"/>
    <n v="3"/>
    <n v="2"/>
    <n v="80"/>
    <n v="2"/>
    <n v="9"/>
    <n v="4"/>
    <n v="3"/>
    <n v="5"/>
    <n v="3"/>
    <n v="1"/>
    <n v="4"/>
    <x v="1"/>
    <x v="1"/>
    <x v="2"/>
  </r>
  <r>
    <n v="27"/>
    <s v="No"/>
    <s v="Travel_Frequently"/>
    <n v="829"/>
    <x v="0"/>
    <n v="8"/>
    <n v="1"/>
    <s v="Marketing"/>
    <n v="1"/>
    <n v="800"/>
    <n v="3"/>
    <x v="1"/>
    <n v="84"/>
    <n v="3"/>
    <n v="2"/>
    <x v="0"/>
    <x v="0"/>
    <s v="Married"/>
    <n v="4342"/>
    <n v="24008"/>
    <n v="0"/>
    <s v="Y"/>
    <s v="No"/>
    <n v="19"/>
    <n v="3"/>
    <n v="2"/>
    <n v="80"/>
    <n v="1"/>
    <n v="5"/>
    <n v="3"/>
    <n v="3"/>
    <n v="4"/>
    <n v="2"/>
    <n v="1"/>
    <n v="1"/>
    <x v="1"/>
    <x v="2"/>
    <x v="2"/>
  </r>
  <r>
    <n v="37"/>
    <s v="No"/>
    <s v="Travel_Rarely"/>
    <n v="571"/>
    <x v="1"/>
    <n v="10"/>
    <n v="1"/>
    <s v="Life Sciences"/>
    <n v="1"/>
    <n v="802"/>
    <n v="4"/>
    <x v="0"/>
    <n v="82"/>
    <n v="3"/>
    <n v="1"/>
    <x v="1"/>
    <x v="3"/>
    <s v="Divorced"/>
    <n v="2782"/>
    <n v="19905"/>
    <n v="0"/>
    <s v="Y"/>
    <s v="Yes"/>
    <n v="13"/>
    <n v="3"/>
    <n v="2"/>
    <n v="80"/>
    <n v="2"/>
    <n v="6"/>
    <n v="3"/>
    <n v="2"/>
    <n v="5"/>
    <n v="3"/>
    <n v="4"/>
    <n v="3"/>
    <x v="1"/>
    <x v="0"/>
    <x v="2"/>
  </r>
  <r>
    <n v="38"/>
    <s v="No"/>
    <s v="Travel_Frequently"/>
    <n v="240"/>
    <x v="1"/>
    <n v="2"/>
    <n v="4"/>
    <s v="Life Sciences"/>
    <n v="1"/>
    <n v="803"/>
    <n v="1"/>
    <x v="0"/>
    <n v="75"/>
    <n v="4"/>
    <n v="2"/>
    <x v="3"/>
    <x v="3"/>
    <s v="Single"/>
    <n v="5980"/>
    <n v="26085"/>
    <n v="6"/>
    <s v="Y"/>
    <s v="Yes"/>
    <n v="12"/>
    <n v="3"/>
    <n v="4"/>
    <n v="80"/>
    <n v="0"/>
    <n v="17"/>
    <n v="2"/>
    <n v="3"/>
    <n v="15"/>
    <n v="7"/>
    <n v="4"/>
    <n v="12"/>
    <x v="1"/>
    <x v="0"/>
    <x v="3"/>
  </r>
  <r>
    <n v="34"/>
    <s v="No"/>
    <s v="Travel_Rarely"/>
    <n v="121"/>
    <x v="1"/>
    <n v="2"/>
    <n v="4"/>
    <s v="Medical"/>
    <n v="1"/>
    <n v="804"/>
    <n v="3"/>
    <x v="0"/>
    <n v="86"/>
    <n v="2"/>
    <n v="1"/>
    <x v="1"/>
    <x v="3"/>
    <s v="Single"/>
    <n v="4381"/>
    <n v="7530"/>
    <n v="1"/>
    <s v="Y"/>
    <s v="No"/>
    <n v="11"/>
    <n v="3"/>
    <n v="3"/>
    <n v="80"/>
    <n v="0"/>
    <n v="6"/>
    <n v="3"/>
    <n v="3"/>
    <n v="6"/>
    <n v="5"/>
    <n v="1"/>
    <n v="3"/>
    <x v="1"/>
    <x v="2"/>
    <x v="0"/>
  </r>
  <r>
    <n v="35"/>
    <s v="No"/>
    <s v="Travel_Rarely"/>
    <n v="384"/>
    <x v="0"/>
    <n v="8"/>
    <n v="4"/>
    <s v="Life Sciences"/>
    <n v="1"/>
    <n v="805"/>
    <n v="1"/>
    <x v="0"/>
    <n v="72"/>
    <n v="3"/>
    <n v="1"/>
    <x v="6"/>
    <x v="0"/>
    <s v="Married"/>
    <n v="2572"/>
    <n v="20317"/>
    <n v="1"/>
    <s v="Y"/>
    <s v="No"/>
    <n v="16"/>
    <n v="3"/>
    <n v="2"/>
    <n v="80"/>
    <n v="1"/>
    <n v="3"/>
    <n v="1"/>
    <n v="2"/>
    <n v="3"/>
    <n v="2"/>
    <n v="0"/>
    <n v="2"/>
    <x v="1"/>
    <x v="2"/>
    <x v="2"/>
  </r>
  <r>
    <n v="30"/>
    <s v="No"/>
    <s v="Travel_Rarely"/>
    <n v="921"/>
    <x v="1"/>
    <n v="1"/>
    <n v="3"/>
    <s v="Life Sciences"/>
    <n v="1"/>
    <n v="806"/>
    <n v="4"/>
    <x v="1"/>
    <n v="38"/>
    <n v="1"/>
    <n v="1"/>
    <x v="2"/>
    <x v="2"/>
    <s v="Married"/>
    <n v="3833"/>
    <n v="24375"/>
    <n v="3"/>
    <s v="Y"/>
    <s v="No"/>
    <n v="21"/>
    <n v="4"/>
    <n v="3"/>
    <n v="80"/>
    <n v="2"/>
    <n v="7"/>
    <n v="2"/>
    <n v="3"/>
    <n v="2"/>
    <n v="2"/>
    <n v="0"/>
    <n v="2"/>
    <x v="1"/>
    <x v="2"/>
    <x v="1"/>
  </r>
  <r>
    <n v="40"/>
    <s v="No"/>
    <s v="Travel_Frequently"/>
    <n v="791"/>
    <x v="1"/>
    <n v="2"/>
    <n v="2"/>
    <s v="Medical"/>
    <n v="1"/>
    <n v="807"/>
    <n v="3"/>
    <x v="0"/>
    <n v="38"/>
    <n v="4"/>
    <n v="2"/>
    <x v="4"/>
    <x v="1"/>
    <s v="Married"/>
    <n v="4244"/>
    <n v="9931"/>
    <n v="1"/>
    <s v="Y"/>
    <s v="No"/>
    <n v="24"/>
    <n v="4"/>
    <n v="4"/>
    <n v="80"/>
    <n v="1"/>
    <n v="8"/>
    <n v="2"/>
    <n v="3"/>
    <n v="8"/>
    <n v="7"/>
    <n v="3"/>
    <n v="7"/>
    <x v="1"/>
    <x v="0"/>
    <x v="0"/>
  </r>
  <r>
    <n v="34"/>
    <s v="No"/>
    <s v="Travel_Rarely"/>
    <n v="1111"/>
    <x v="0"/>
    <n v="8"/>
    <n v="2"/>
    <s v="Life Sciences"/>
    <n v="1"/>
    <n v="808"/>
    <n v="3"/>
    <x v="0"/>
    <n v="93"/>
    <n v="3"/>
    <n v="2"/>
    <x v="0"/>
    <x v="3"/>
    <s v="Married"/>
    <n v="6500"/>
    <n v="13305"/>
    <n v="5"/>
    <s v="Y"/>
    <s v="No"/>
    <n v="17"/>
    <n v="3"/>
    <n v="2"/>
    <n v="80"/>
    <n v="1"/>
    <n v="6"/>
    <n v="1"/>
    <n v="3"/>
    <n v="3"/>
    <n v="2"/>
    <n v="1"/>
    <n v="2"/>
    <x v="1"/>
    <x v="2"/>
    <x v="2"/>
  </r>
  <r>
    <n v="42"/>
    <s v="No"/>
    <s v="Travel_Frequently"/>
    <n v="570"/>
    <x v="1"/>
    <n v="8"/>
    <n v="3"/>
    <s v="Life Sciences"/>
    <n v="1"/>
    <n v="809"/>
    <n v="2"/>
    <x v="1"/>
    <n v="66"/>
    <n v="3"/>
    <n v="5"/>
    <x v="5"/>
    <x v="0"/>
    <s v="Divorced"/>
    <n v="18430"/>
    <n v="16225"/>
    <n v="1"/>
    <s v="Y"/>
    <s v="No"/>
    <n v="13"/>
    <n v="3"/>
    <n v="2"/>
    <n v="80"/>
    <n v="1"/>
    <n v="24"/>
    <n v="4"/>
    <n v="2"/>
    <n v="24"/>
    <n v="7"/>
    <n v="14"/>
    <n v="9"/>
    <x v="1"/>
    <x v="0"/>
    <x v="3"/>
  </r>
  <r>
    <n v="23"/>
    <s v="Yes"/>
    <s v="Travel_Rarely"/>
    <n v="1243"/>
    <x v="1"/>
    <n v="6"/>
    <n v="3"/>
    <s v="Life Sciences"/>
    <n v="1"/>
    <n v="811"/>
    <n v="3"/>
    <x v="1"/>
    <n v="63"/>
    <n v="4"/>
    <n v="1"/>
    <x v="2"/>
    <x v="3"/>
    <s v="Married"/>
    <n v="1601"/>
    <n v="3445"/>
    <n v="1"/>
    <s v="Y"/>
    <s v="Yes"/>
    <n v="21"/>
    <n v="4"/>
    <n v="3"/>
    <n v="80"/>
    <n v="2"/>
    <n v="1"/>
    <n v="2"/>
    <n v="3"/>
    <n v="0"/>
    <n v="0"/>
    <n v="0"/>
    <n v="0"/>
    <x v="0"/>
    <x v="3"/>
    <x v="1"/>
  </r>
  <r>
    <n v="24"/>
    <s v="No"/>
    <s v="Non-Travel"/>
    <n v="1092"/>
    <x v="1"/>
    <n v="9"/>
    <n v="3"/>
    <s v="Life Sciences"/>
    <n v="1"/>
    <n v="812"/>
    <n v="3"/>
    <x v="1"/>
    <n v="60"/>
    <n v="2"/>
    <n v="1"/>
    <x v="2"/>
    <x v="1"/>
    <s v="Divorced"/>
    <n v="2694"/>
    <n v="26551"/>
    <n v="1"/>
    <s v="Y"/>
    <s v="No"/>
    <n v="11"/>
    <n v="3"/>
    <n v="3"/>
    <n v="80"/>
    <n v="3"/>
    <n v="1"/>
    <n v="4"/>
    <n v="3"/>
    <n v="1"/>
    <n v="0"/>
    <n v="0"/>
    <n v="0"/>
    <x v="1"/>
    <x v="3"/>
    <x v="1"/>
  </r>
  <r>
    <n v="52"/>
    <s v="No"/>
    <s v="Travel_Rarely"/>
    <n v="1325"/>
    <x v="1"/>
    <n v="11"/>
    <n v="4"/>
    <s v="Life Sciences"/>
    <n v="1"/>
    <n v="813"/>
    <n v="4"/>
    <x v="0"/>
    <n v="82"/>
    <n v="3"/>
    <n v="2"/>
    <x v="2"/>
    <x v="2"/>
    <s v="Married"/>
    <n v="3149"/>
    <n v="21821"/>
    <n v="8"/>
    <s v="Y"/>
    <s v="No"/>
    <n v="20"/>
    <n v="4"/>
    <n v="2"/>
    <n v="80"/>
    <n v="1"/>
    <n v="9"/>
    <n v="3"/>
    <n v="3"/>
    <n v="5"/>
    <n v="2"/>
    <n v="1"/>
    <n v="4"/>
    <x v="1"/>
    <x v="1"/>
    <x v="2"/>
  </r>
  <r>
    <n v="50"/>
    <s v="No"/>
    <s v="Travel_Rarely"/>
    <n v="691"/>
    <x v="1"/>
    <n v="2"/>
    <n v="3"/>
    <s v="Medical"/>
    <n v="1"/>
    <n v="815"/>
    <n v="3"/>
    <x v="1"/>
    <n v="64"/>
    <n v="3"/>
    <n v="4"/>
    <x v="7"/>
    <x v="2"/>
    <s v="Married"/>
    <n v="17639"/>
    <n v="6881"/>
    <n v="5"/>
    <s v="Y"/>
    <s v="No"/>
    <n v="16"/>
    <n v="3"/>
    <n v="4"/>
    <n v="80"/>
    <n v="0"/>
    <n v="30"/>
    <n v="3"/>
    <n v="3"/>
    <n v="4"/>
    <n v="3"/>
    <n v="0"/>
    <n v="3"/>
    <x v="1"/>
    <x v="1"/>
    <x v="2"/>
  </r>
  <r>
    <n v="29"/>
    <s v="Yes"/>
    <s v="Travel_Rarely"/>
    <n v="805"/>
    <x v="1"/>
    <n v="1"/>
    <n v="2"/>
    <s v="Life Sciences"/>
    <n v="1"/>
    <n v="816"/>
    <n v="2"/>
    <x v="0"/>
    <n v="36"/>
    <n v="2"/>
    <n v="1"/>
    <x v="2"/>
    <x v="3"/>
    <s v="Married"/>
    <n v="2319"/>
    <n v="6689"/>
    <n v="1"/>
    <s v="Y"/>
    <s v="Yes"/>
    <n v="11"/>
    <n v="3"/>
    <n v="4"/>
    <n v="80"/>
    <n v="1"/>
    <n v="1"/>
    <n v="1"/>
    <n v="3"/>
    <n v="1"/>
    <n v="0"/>
    <n v="0"/>
    <n v="0"/>
    <x v="0"/>
    <x v="2"/>
    <x v="1"/>
  </r>
  <r>
    <n v="33"/>
    <s v="No"/>
    <s v="Travel_Rarely"/>
    <n v="213"/>
    <x v="1"/>
    <n v="7"/>
    <n v="3"/>
    <s v="Medical"/>
    <n v="1"/>
    <n v="817"/>
    <n v="3"/>
    <x v="1"/>
    <n v="49"/>
    <n v="3"/>
    <n v="3"/>
    <x v="7"/>
    <x v="2"/>
    <s v="Married"/>
    <n v="11691"/>
    <n v="25995"/>
    <n v="0"/>
    <s v="Y"/>
    <s v="No"/>
    <n v="11"/>
    <n v="3"/>
    <n v="4"/>
    <n v="80"/>
    <n v="0"/>
    <n v="14"/>
    <n v="3"/>
    <n v="4"/>
    <n v="13"/>
    <n v="9"/>
    <n v="3"/>
    <n v="7"/>
    <x v="1"/>
    <x v="2"/>
    <x v="3"/>
  </r>
  <r>
    <n v="33"/>
    <s v="Yes"/>
    <s v="Travel_Rarely"/>
    <n v="118"/>
    <x v="0"/>
    <n v="16"/>
    <n v="3"/>
    <s v="Marketing"/>
    <n v="1"/>
    <n v="819"/>
    <n v="1"/>
    <x v="0"/>
    <n v="69"/>
    <n v="3"/>
    <n v="2"/>
    <x v="0"/>
    <x v="3"/>
    <s v="Single"/>
    <n v="5324"/>
    <n v="26507"/>
    <n v="5"/>
    <s v="Y"/>
    <s v="No"/>
    <n v="15"/>
    <n v="3"/>
    <n v="3"/>
    <n v="80"/>
    <n v="0"/>
    <n v="6"/>
    <n v="3"/>
    <n v="3"/>
    <n v="3"/>
    <n v="2"/>
    <n v="0"/>
    <n v="2"/>
    <x v="0"/>
    <x v="2"/>
    <x v="2"/>
  </r>
  <r>
    <n v="47"/>
    <s v="No"/>
    <s v="Travel_Rarely"/>
    <n v="202"/>
    <x v="1"/>
    <n v="2"/>
    <n v="2"/>
    <s v="Other"/>
    <n v="1"/>
    <n v="820"/>
    <n v="3"/>
    <x v="0"/>
    <n v="33"/>
    <n v="3"/>
    <n v="4"/>
    <x v="5"/>
    <x v="0"/>
    <s v="Married"/>
    <n v="16752"/>
    <n v="12982"/>
    <n v="1"/>
    <s v="Y"/>
    <s v="Yes"/>
    <n v="11"/>
    <n v="3"/>
    <n v="3"/>
    <n v="80"/>
    <n v="1"/>
    <n v="26"/>
    <n v="3"/>
    <n v="2"/>
    <n v="26"/>
    <n v="14"/>
    <n v="3"/>
    <n v="0"/>
    <x v="1"/>
    <x v="1"/>
    <x v="3"/>
  </r>
  <r>
    <n v="36"/>
    <s v="No"/>
    <s v="Travel_Rarely"/>
    <n v="676"/>
    <x v="1"/>
    <n v="1"/>
    <n v="3"/>
    <s v="Other"/>
    <n v="1"/>
    <n v="823"/>
    <n v="3"/>
    <x v="0"/>
    <n v="35"/>
    <n v="3"/>
    <n v="2"/>
    <x v="3"/>
    <x v="1"/>
    <s v="Married"/>
    <n v="5228"/>
    <n v="23361"/>
    <n v="0"/>
    <s v="Y"/>
    <s v="No"/>
    <n v="15"/>
    <n v="3"/>
    <n v="1"/>
    <n v="80"/>
    <n v="1"/>
    <n v="10"/>
    <n v="2"/>
    <n v="3"/>
    <n v="9"/>
    <n v="7"/>
    <n v="0"/>
    <n v="5"/>
    <x v="1"/>
    <x v="0"/>
    <x v="0"/>
  </r>
  <r>
    <n v="29"/>
    <s v="No"/>
    <s v="Travel_Rarely"/>
    <n v="1252"/>
    <x v="1"/>
    <n v="23"/>
    <n v="2"/>
    <s v="Life Sciences"/>
    <n v="1"/>
    <n v="824"/>
    <n v="3"/>
    <x v="1"/>
    <n v="81"/>
    <n v="4"/>
    <n v="1"/>
    <x v="1"/>
    <x v="2"/>
    <s v="Married"/>
    <n v="2700"/>
    <n v="23779"/>
    <n v="1"/>
    <s v="Y"/>
    <s v="No"/>
    <n v="24"/>
    <n v="4"/>
    <n v="3"/>
    <n v="80"/>
    <n v="1"/>
    <n v="10"/>
    <n v="3"/>
    <n v="3"/>
    <n v="10"/>
    <n v="7"/>
    <n v="0"/>
    <n v="7"/>
    <x v="1"/>
    <x v="2"/>
    <x v="0"/>
  </r>
  <r>
    <n v="58"/>
    <s v="Yes"/>
    <s v="Travel_Rarely"/>
    <n v="286"/>
    <x v="1"/>
    <n v="2"/>
    <n v="4"/>
    <s v="Life Sciences"/>
    <n v="1"/>
    <n v="825"/>
    <n v="4"/>
    <x v="1"/>
    <n v="31"/>
    <n v="3"/>
    <n v="5"/>
    <x v="7"/>
    <x v="1"/>
    <s v="Single"/>
    <n v="19246"/>
    <n v="25761"/>
    <n v="7"/>
    <s v="Y"/>
    <s v="Yes"/>
    <n v="12"/>
    <n v="3"/>
    <n v="4"/>
    <n v="80"/>
    <n v="0"/>
    <n v="40"/>
    <n v="2"/>
    <n v="3"/>
    <n v="31"/>
    <n v="15"/>
    <n v="13"/>
    <n v="8"/>
    <x v="0"/>
    <x v="1"/>
    <x v="3"/>
  </r>
  <r>
    <n v="35"/>
    <s v="No"/>
    <s v="Travel_Rarely"/>
    <n v="1258"/>
    <x v="1"/>
    <n v="1"/>
    <n v="4"/>
    <s v="Life Sciences"/>
    <n v="1"/>
    <n v="826"/>
    <n v="4"/>
    <x v="0"/>
    <n v="40"/>
    <n v="4"/>
    <n v="1"/>
    <x v="1"/>
    <x v="2"/>
    <s v="Single"/>
    <n v="2506"/>
    <n v="13301"/>
    <n v="3"/>
    <s v="Y"/>
    <s v="No"/>
    <n v="13"/>
    <n v="3"/>
    <n v="3"/>
    <n v="80"/>
    <n v="0"/>
    <n v="7"/>
    <n v="0"/>
    <n v="3"/>
    <n v="2"/>
    <n v="2"/>
    <n v="2"/>
    <n v="2"/>
    <x v="1"/>
    <x v="2"/>
    <x v="1"/>
  </r>
  <r>
    <n v="42"/>
    <s v="No"/>
    <s v="Travel_Rarely"/>
    <n v="932"/>
    <x v="1"/>
    <n v="1"/>
    <n v="2"/>
    <s v="Life Sciences"/>
    <n v="1"/>
    <n v="827"/>
    <n v="4"/>
    <x v="0"/>
    <n v="43"/>
    <n v="2"/>
    <n v="2"/>
    <x v="3"/>
    <x v="0"/>
    <s v="Married"/>
    <n v="6062"/>
    <n v="4051"/>
    <n v="9"/>
    <s v="Y"/>
    <s v="Yes"/>
    <n v="13"/>
    <n v="3"/>
    <n v="4"/>
    <n v="80"/>
    <n v="1"/>
    <n v="8"/>
    <n v="4"/>
    <n v="3"/>
    <n v="4"/>
    <n v="3"/>
    <n v="0"/>
    <n v="2"/>
    <x v="1"/>
    <x v="0"/>
    <x v="2"/>
  </r>
  <r>
    <n v="28"/>
    <s v="Yes"/>
    <s v="Travel_Rarely"/>
    <n v="890"/>
    <x v="1"/>
    <n v="2"/>
    <n v="4"/>
    <s v="Medical"/>
    <n v="1"/>
    <n v="828"/>
    <n v="3"/>
    <x v="1"/>
    <n v="46"/>
    <n v="3"/>
    <n v="1"/>
    <x v="1"/>
    <x v="2"/>
    <s v="Single"/>
    <n v="4382"/>
    <n v="16374"/>
    <n v="6"/>
    <s v="Y"/>
    <s v="No"/>
    <n v="17"/>
    <n v="3"/>
    <n v="4"/>
    <n v="80"/>
    <n v="0"/>
    <n v="5"/>
    <n v="3"/>
    <n v="2"/>
    <n v="2"/>
    <n v="2"/>
    <n v="2"/>
    <n v="1"/>
    <x v="0"/>
    <x v="2"/>
    <x v="1"/>
  </r>
  <r>
    <n v="36"/>
    <s v="No"/>
    <s v="Travel_Rarely"/>
    <n v="1041"/>
    <x v="2"/>
    <n v="13"/>
    <n v="3"/>
    <s v="Human Resources"/>
    <n v="1"/>
    <n v="829"/>
    <n v="3"/>
    <x v="1"/>
    <n v="36"/>
    <n v="3"/>
    <n v="1"/>
    <x v="8"/>
    <x v="1"/>
    <s v="Married"/>
    <n v="2143"/>
    <n v="25527"/>
    <n v="4"/>
    <s v="Y"/>
    <s v="No"/>
    <n v="13"/>
    <n v="3"/>
    <n v="2"/>
    <n v="80"/>
    <n v="1"/>
    <n v="8"/>
    <n v="2"/>
    <n v="3"/>
    <n v="5"/>
    <n v="2"/>
    <n v="0"/>
    <n v="4"/>
    <x v="1"/>
    <x v="0"/>
    <x v="2"/>
  </r>
  <r>
    <n v="32"/>
    <s v="No"/>
    <s v="Travel_Rarely"/>
    <n v="859"/>
    <x v="1"/>
    <n v="4"/>
    <n v="3"/>
    <s v="Life Sciences"/>
    <n v="1"/>
    <n v="830"/>
    <n v="3"/>
    <x v="0"/>
    <n v="98"/>
    <n v="2"/>
    <n v="2"/>
    <x v="3"/>
    <x v="2"/>
    <s v="Married"/>
    <n v="6162"/>
    <n v="19124"/>
    <n v="1"/>
    <s v="Y"/>
    <s v="No"/>
    <n v="12"/>
    <n v="3"/>
    <n v="3"/>
    <n v="80"/>
    <n v="1"/>
    <n v="14"/>
    <n v="3"/>
    <n v="3"/>
    <n v="14"/>
    <n v="13"/>
    <n v="6"/>
    <n v="8"/>
    <x v="1"/>
    <x v="2"/>
    <x v="3"/>
  </r>
  <r>
    <n v="40"/>
    <s v="No"/>
    <s v="Travel_Frequently"/>
    <n v="720"/>
    <x v="1"/>
    <n v="16"/>
    <n v="4"/>
    <s v="Medical"/>
    <n v="1"/>
    <n v="832"/>
    <n v="1"/>
    <x v="1"/>
    <n v="51"/>
    <n v="2"/>
    <n v="2"/>
    <x v="2"/>
    <x v="2"/>
    <s v="Single"/>
    <n v="5094"/>
    <n v="11983"/>
    <n v="6"/>
    <s v="Y"/>
    <s v="No"/>
    <n v="14"/>
    <n v="3"/>
    <n v="4"/>
    <n v="80"/>
    <n v="0"/>
    <n v="10"/>
    <n v="6"/>
    <n v="3"/>
    <n v="1"/>
    <n v="0"/>
    <n v="0"/>
    <n v="0"/>
    <x v="1"/>
    <x v="0"/>
    <x v="1"/>
  </r>
  <r>
    <n v="30"/>
    <s v="No"/>
    <s v="Travel_Rarely"/>
    <n v="946"/>
    <x v="1"/>
    <n v="2"/>
    <n v="3"/>
    <s v="Medical"/>
    <n v="1"/>
    <n v="833"/>
    <n v="3"/>
    <x v="0"/>
    <n v="52"/>
    <n v="2"/>
    <n v="2"/>
    <x v="3"/>
    <x v="0"/>
    <s v="Single"/>
    <n v="6877"/>
    <n v="20234"/>
    <n v="5"/>
    <s v="Y"/>
    <s v="Yes"/>
    <n v="24"/>
    <n v="4"/>
    <n v="2"/>
    <n v="80"/>
    <n v="0"/>
    <n v="12"/>
    <n v="4"/>
    <n v="2"/>
    <n v="0"/>
    <n v="0"/>
    <n v="0"/>
    <n v="0"/>
    <x v="1"/>
    <x v="2"/>
    <x v="1"/>
  </r>
  <r>
    <n v="45"/>
    <s v="No"/>
    <s v="Travel_Rarely"/>
    <n v="252"/>
    <x v="1"/>
    <n v="2"/>
    <n v="3"/>
    <s v="Life Sciences"/>
    <n v="1"/>
    <n v="834"/>
    <n v="2"/>
    <x v="0"/>
    <n v="95"/>
    <n v="2"/>
    <n v="1"/>
    <x v="1"/>
    <x v="2"/>
    <s v="Single"/>
    <n v="2274"/>
    <n v="6153"/>
    <n v="1"/>
    <s v="Y"/>
    <s v="No"/>
    <n v="14"/>
    <n v="3"/>
    <n v="4"/>
    <n v="80"/>
    <n v="0"/>
    <n v="1"/>
    <n v="3"/>
    <n v="3"/>
    <n v="1"/>
    <n v="0"/>
    <n v="0"/>
    <n v="0"/>
    <x v="1"/>
    <x v="0"/>
    <x v="1"/>
  </r>
  <r>
    <n v="42"/>
    <s v="No"/>
    <s v="Travel_Rarely"/>
    <n v="933"/>
    <x v="1"/>
    <n v="29"/>
    <n v="3"/>
    <s v="Life Sciences"/>
    <n v="1"/>
    <n v="836"/>
    <n v="2"/>
    <x v="1"/>
    <n v="98"/>
    <n v="3"/>
    <n v="2"/>
    <x v="3"/>
    <x v="1"/>
    <s v="Married"/>
    <n v="4434"/>
    <n v="11806"/>
    <n v="1"/>
    <s v="Y"/>
    <s v="No"/>
    <n v="13"/>
    <n v="3"/>
    <n v="4"/>
    <n v="80"/>
    <n v="1"/>
    <n v="10"/>
    <n v="3"/>
    <n v="2"/>
    <n v="9"/>
    <n v="8"/>
    <n v="7"/>
    <n v="8"/>
    <x v="1"/>
    <x v="0"/>
    <x v="0"/>
  </r>
  <r>
    <n v="38"/>
    <s v="No"/>
    <s v="Travel_Frequently"/>
    <n v="471"/>
    <x v="1"/>
    <n v="12"/>
    <n v="3"/>
    <s v="Life Sciences"/>
    <n v="1"/>
    <n v="837"/>
    <n v="1"/>
    <x v="1"/>
    <n v="45"/>
    <n v="2"/>
    <n v="2"/>
    <x v="4"/>
    <x v="3"/>
    <s v="Divorced"/>
    <n v="6288"/>
    <n v="4284"/>
    <n v="2"/>
    <s v="Y"/>
    <s v="No"/>
    <n v="15"/>
    <n v="3"/>
    <n v="3"/>
    <n v="80"/>
    <n v="1"/>
    <n v="13"/>
    <n v="3"/>
    <n v="2"/>
    <n v="4"/>
    <n v="3"/>
    <n v="1"/>
    <n v="2"/>
    <x v="1"/>
    <x v="0"/>
    <x v="2"/>
  </r>
  <r>
    <n v="34"/>
    <s v="No"/>
    <s v="Travel_Frequently"/>
    <n v="702"/>
    <x v="1"/>
    <n v="16"/>
    <n v="4"/>
    <s v="Life Sciences"/>
    <n v="1"/>
    <n v="838"/>
    <n v="3"/>
    <x v="0"/>
    <n v="100"/>
    <n v="2"/>
    <n v="1"/>
    <x v="1"/>
    <x v="0"/>
    <s v="Single"/>
    <n v="2553"/>
    <n v="8306"/>
    <n v="1"/>
    <s v="Y"/>
    <s v="No"/>
    <n v="16"/>
    <n v="3"/>
    <n v="3"/>
    <n v="80"/>
    <n v="0"/>
    <n v="6"/>
    <n v="3"/>
    <n v="3"/>
    <n v="5"/>
    <n v="2"/>
    <n v="1"/>
    <n v="3"/>
    <x v="1"/>
    <x v="2"/>
    <x v="2"/>
  </r>
  <r>
    <n v="49"/>
    <s v="Yes"/>
    <s v="Travel_Rarely"/>
    <n v="1184"/>
    <x v="0"/>
    <n v="11"/>
    <n v="3"/>
    <s v="Marketing"/>
    <n v="1"/>
    <n v="840"/>
    <n v="3"/>
    <x v="0"/>
    <n v="43"/>
    <n v="3"/>
    <n v="3"/>
    <x v="0"/>
    <x v="0"/>
    <s v="Married"/>
    <n v="7654"/>
    <n v="5860"/>
    <n v="1"/>
    <s v="Y"/>
    <s v="No"/>
    <n v="18"/>
    <n v="3"/>
    <n v="1"/>
    <n v="80"/>
    <n v="2"/>
    <n v="9"/>
    <n v="3"/>
    <n v="4"/>
    <n v="9"/>
    <n v="8"/>
    <n v="7"/>
    <n v="7"/>
    <x v="0"/>
    <x v="1"/>
    <x v="0"/>
  </r>
  <r>
    <n v="55"/>
    <s v="Yes"/>
    <s v="Travel_Rarely"/>
    <n v="436"/>
    <x v="0"/>
    <n v="2"/>
    <n v="1"/>
    <s v="Medical"/>
    <n v="1"/>
    <n v="842"/>
    <n v="3"/>
    <x v="1"/>
    <n v="37"/>
    <n v="3"/>
    <n v="2"/>
    <x v="0"/>
    <x v="0"/>
    <s v="Single"/>
    <n v="5160"/>
    <n v="21519"/>
    <n v="4"/>
    <s v="Y"/>
    <s v="No"/>
    <n v="16"/>
    <n v="3"/>
    <n v="3"/>
    <n v="80"/>
    <n v="0"/>
    <n v="12"/>
    <n v="3"/>
    <n v="2"/>
    <n v="9"/>
    <n v="7"/>
    <n v="7"/>
    <n v="3"/>
    <x v="0"/>
    <x v="1"/>
    <x v="0"/>
  </r>
  <r>
    <n v="43"/>
    <s v="No"/>
    <s v="Travel_Rarely"/>
    <n v="589"/>
    <x v="1"/>
    <n v="14"/>
    <n v="2"/>
    <s v="Life Sciences"/>
    <n v="1"/>
    <n v="843"/>
    <n v="2"/>
    <x v="1"/>
    <n v="94"/>
    <n v="3"/>
    <n v="4"/>
    <x v="7"/>
    <x v="3"/>
    <s v="Married"/>
    <n v="17159"/>
    <n v="5200"/>
    <n v="6"/>
    <s v="Y"/>
    <s v="No"/>
    <n v="24"/>
    <n v="4"/>
    <n v="3"/>
    <n v="80"/>
    <n v="1"/>
    <n v="22"/>
    <n v="3"/>
    <n v="3"/>
    <n v="4"/>
    <n v="1"/>
    <n v="1"/>
    <n v="0"/>
    <x v="1"/>
    <x v="0"/>
    <x v="2"/>
  </r>
  <r>
    <n v="27"/>
    <s v="No"/>
    <s v="Travel_Rarely"/>
    <n v="269"/>
    <x v="1"/>
    <n v="5"/>
    <n v="1"/>
    <s v="Technical Degree"/>
    <n v="1"/>
    <n v="844"/>
    <n v="3"/>
    <x v="1"/>
    <n v="42"/>
    <n v="2"/>
    <n v="3"/>
    <x v="7"/>
    <x v="0"/>
    <s v="Divorced"/>
    <n v="12808"/>
    <n v="8842"/>
    <n v="1"/>
    <s v="Y"/>
    <s v="Yes"/>
    <n v="16"/>
    <n v="3"/>
    <n v="2"/>
    <n v="80"/>
    <n v="1"/>
    <n v="9"/>
    <n v="3"/>
    <n v="3"/>
    <n v="9"/>
    <n v="8"/>
    <n v="0"/>
    <n v="8"/>
    <x v="1"/>
    <x v="2"/>
    <x v="0"/>
  </r>
  <r>
    <n v="35"/>
    <s v="No"/>
    <s v="Travel_Rarely"/>
    <n v="950"/>
    <x v="1"/>
    <n v="7"/>
    <n v="3"/>
    <s v="Other"/>
    <n v="1"/>
    <n v="845"/>
    <n v="3"/>
    <x v="1"/>
    <n v="59"/>
    <n v="3"/>
    <n v="3"/>
    <x v="3"/>
    <x v="2"/>
    <s v="Single"/>
    <n v="10221"/>
    <n v="18869"/>
    <n v="3"/>
    <s v="Y"/>
    <s v="No"/>
    <n v="21"/>
    <n v="4"/>
    <n v="2"/>
    <n v="80"/>
    <n v="0"/>
    <n v="17"/>
    <n v="3"/>
    <n v="4"/>
    <n v="8"/>
    <n v="5"/>
    <n v="1"/>
    <n v="6"/>
    <x v="1"/>
    <x v="2"/>
    <x v="0"/>
  </r>
  <r>
    <n v="28"/>
    <s v="No"/>
    <s v="Travel_Rarely"/>
    <n v="760"/>
    <x v="0"/>
    <n v="2"/>
    <n v="4"/>
    <s v="Marketing"/>
    <n v="1"/>
    <n v="846"/>
    <n v="2"/>
    <x v="0"/>
    <n v="81"/>
    <n v="3"/>
    <n v="2"/>
    <x v="0"/>
    <x v="1"/>
    <s v="Married"/>
    <n v="4779"/>
    <n v="3698"/>
    <n v="1"/>
    <s v="Y"/>
    <s v="Yes"/>
    <n v="20"/>
    <n v="4"/>
    <n v="1"/>
    <n v="80"/>
    <n v="0"/>
    <n v="8"/>
    <n v="2"/>
    <n v="3"/>
    <n v="8"/>
    <n v="7"/>
    <n v="7"/>
    <n v="5"/>
    <x v="1"/>
    <x v="2"/>
    <x v="0"/>
  </r>
  <r>
    <n v="34"/>
    <s v="No"/>
    <s v="Travel_Rarely"/>
    <n v="829"/>
    <x v="2"/>
    <n v="3"/>
    <n v="2"/>
    <s v="Human Resources"/>
    <n v="1"/>
    <n v="847"/>
    <n v="3"/>
    <x v="1"/>
    <n v="88"/>
    <n v="3"/>
    <n v="1"/>
    <x v="8"/>
    <x v="0"/>
    <s v="Married"/>
    <n v="3737"/>
    <n v="2243"/>
    <n v="0"/>
    <s v="Y"/>
    <s v="No"/>
    <n v="19"/>
    <n v="3"/>
    <n v="3"/>
    <n v="80"/>
    <n v="1"/>
    <n v="4"/>
    <n v="1"/>
    <n v="1"/>
    <n v="3"/>
    <n v="2"/>
    <n v="0"/>
    <n v="2"/>
    <x v="1"/>
    <x v="2"/>
    <x v="2"/>
  </r>
  <r>
    <n v="26"/>
    <s v="Yes"/>
    <s v="Travel_Frequently"/>
    <n v="887"/>
    <x v="1"/>
    <n v="5"/>
    <n v="2"/>
    <s v="Medical"/>
    <n v="1"/>
    <n v="848"/>
    <n v="3"/>
    <x v="0"/>
    <n v="88"/>
    <n v="2"/>
    <n v="1"/>
    <x v="1"/>
    <x v="2"/>
    <s v="Married"/>
    <n v="2366"/>
    <n v="20898"/>
    <n v="1"/>
    <s v="Y"/>
    <s v="Yes"/>
    <n v="14"/>
    <n v="3"/>
    <n v="1"/>
    <n v="80"/>
    <n v="1"/>
    <n v="8"/>
    <n v="2"/>
    <n v="3"/>
    <n v="8"/>
    <n v="7"/>
    <n v="1"/>
    <n v="7"/>
    <x v="0"/>
    <x v="2"/>
    <x v="0"/>
  </r>
  <r>
    <n v="27"/>
    <s v="No"/>
    <s v="Non-Travel"/>
    <n v="443"/>
    <x v="1"/>
    <n v="3"/>
    <n v="3"/>
    <s v="Medical"/>
    <n v="1"/>
    <n v="850"/>
    <n v="4"/>
    <x v="1"/>
    <n v="50"/>
    <n v="3"/>
    <n v="1"/>
    <x v="1"/>
    <x v="0"/>
    <s v="Married"/>
    <n v="1706"/>
    <n v="16571"/>
    <n v="1"/>
    <s v="Y"/>
    <s v="No"/>
    <n v="11"/>
    <n v="3"/>
    <n v="3"/>
    <n v="80"/>
    <n v="3"/>
    <n v="0"/>
    <n v="6"/>
    <n v="2"/>
    <n v="0"/>
    <n v="0"/>
    <n v="0"/>
    <n v="0"/>
    <x v="1"/>
    <x v="2"/>
    <x v="1"/>
  </r>
  <r>
    <n v="51"/>
    <s v="No"/>
    <s v="Travel_Rarely"/>
    <n v="1318"/>
    <x v="0"/>
    <n v="26"/>
    <n v="4"/>
    <s v="Marketing"/>
    <n v="1"/>
    <n v="851"/>
    <n v="1"/>
    <x v="0"/>
    <n v="66"/>
    <n v="3"/>
    <n v="4"/>
    <x v="5"/>
    <x v="2"/>
    <s v="Married"/>
    <n v="16307"/>
    <n v="5594"/>
    <n v="2"/>
    <s v="Y"/>
    <s v="No"/>
    <n v="14"/>
    <n v="3"/>
    <n v="3"/>
    <n v="80"/>
    <n v="1"/>
    <n v="29"/>
    <n v="2"/>
    <n v="2"/>
    <n v="20"/>
    <n v="6"/>
    <n v="4"/>
    <n v="17"/>
    <x v="1"/>
    <x v="1"/>
    <x v="3"/>
  </r>
  <r>
    <n v="44"/>
    <s v="No"/>
    <s v="Travel_Rarely"/>
    <n v="625"/>
    <x v="1"/>
    <n v="4"/>
    <n v="3"/>
    <s v="Medical"/>
    <n v="1"/>
    <n v="852"/>
    <n v="4"/>
    <x v="1"/>
    <n v="50"/>
    <n v="3"/>
    <n v="2"/>
    <x v="4"/>
    <x v="1"/>
    <s v="Single"/>
    <n v="5933"/>
    <n v="5197"/>
    <n v="9"/>
    <s v="Y"/>
    <s v="No"/>
    <n v="12"/>
    <n v="3"/>
    <n v="4"/>
    <n v="80"/>
    <n v="0"/>
    <n v="10"/>
    <n v="2"/>
    <n v="2"/>
    <n v="5"/>
    <n v="2"/>
    <n v="2"/>
    <n v="3"/>
    <x v="1"/>
    <x v="0"/>
    <x v="2"/>
  </r>
  <r>
    <n v="25"/>
    <s v="No"/>
    <s v="Travel_Rarely"/>
    <n v="180"/>
    <x v="1"/>
    <n v="2"/>
    <n v="1"/>
    <s v="Medical"/>
    <n v="1"/>
    <n v="854"/>
    <n v="1"/>
    <x v="1"/>
    <n v="65"/>
    <n v="4"/>
    <n v="1"/>
    <x v="1"/>
    <x v="3"/>
    <s v="Single"/>
    <n v="3424"/>
    <n v="21632"/>
    <n v="7"/>
    <s v="Y"/>
    <s v="No"/>
    <n v="13"/>
    <n v="3"/>
    <n v="3"/>
    <n v="80"/>
    <n v="0"/>
    <n v="6"/>
    <n v="3"/>
    <n v="2"/>
    <n v="4"/>
    <n v="3"/>
    <n v="0"/>
    <n v="1"/>
    <x v="1"/>
    <x v="3"/>
    <x v="2"/>
  </r>
  <r>
    <n v="33"/>
    <s v="No"/>
    <s v="Travel_Rarely"/>
    <n v="586"/>
    <x v="0"/>
    <n v="1"/>
    <n v="3"/>
    <s v="Medical"/>
    <n v="1"/>
    <n v="855"/>
    <n v="1"/>
    <x v="1"/>
    <n v="48"/>
    <n v="4"/>
    <n v="2"/>
    <x v="0"/>
    <x v="3"/>
    <s v="Divorced"/>
    <n v="4037"/>
    <n v="21816"/>
    <n v="1"/>
    <s v="Y"/>
    <s v="No"/>
    <n v="22"/>
    <n v="4"/>
    <n v="1"/>
    <n v="80"/>
    <n v="1"/>
    <n v="9"/>
    <n v="5"/>
    <n v="3"/>
    <n v="9"/>
    <n v="8"/>
    <n v="0"/>
    <n v="8"/>
    <x v="1"/>
    <x v="2"/>
    <x v="0"/>
  </r>
  <r>
    <n v="35"/>
    <s v="No"/>
    <s v="Travel_Rarely"/>
    <n v="1343"/>
    <x v="1"/>
    <n v="27"/>
    <n v="1"/>
    <s v="Medical"/>
    <n v="1"/>
    <n v="856"/>
    <n v="3"/>
    <x v="0"/>
    <n v="53"/>
    <n v="2"/>
    <n v="1"/>
    <x v="1"/>
    <x v="3"/>
    <s v="Single"/>
    <n v="2559"/>
    <n v="17852"/>
    <n v="1"/>
    <s v="Y"/>
    <s v="No"/>
    <n v="11"/>
    <n v="3"/>
    <n v="4"/>
    <n v="80"/>
    <n v="0"/>
    <n v="6"/>
    <n v="3"/>
    <n v="2"/>
    <n v="6"/>
    <n v="5"/>
    <n v="1"/>
    <n v="1"/>
    <x v="1"/>
    <x v="2"/>
    <x v="0"/>
  </r>
  <r>
    <n v="36"/>
    <s v="No"/>
    <s v="Travel_Rarely"/>
    <n v="928"/>
    <x v="0"/>
    <n v="1"/>
    <n v="2"/>
    <s v="Life Sciences"/>
    <n v="1"/>
    <n v="857"/>
    <n v="2"/>
    <x v="1"/>
    <n v="56"/>
    <n v="3"/>
    <n v="2"/>
    <x v="0"/>
    <x v="0"/>
    <s v="Married"/>
    <n v="6201"/>
    <n v="2823"/>
    <n v="1"/>
    <s v="Y"/>
    <s v="Yes"/>
    <n v="14"/>
    <n v="3"/>
    <n v="4"/>
    <n v="80"/>
    <n v="1"/>
    <n v="18"/>
    <n v="1"/>
    <n v="2"/>
    <n v="18"/>
    <n v="14"/>
    <n v="4"/>
    <n v="11"/>
    <x v="1"/>
    <x v="0"/>
    <x v="3"/>
  </r>
  <r>
    <n v="32"/>
    <s v="No"/>
    <s v="Travel_Rarely"/>
    <n v="117"/>
    <x v="0"/>
    <n v="13"/>
    <n v="4"/>
    <s v="Life Sciences"/>
    <n v="1"/>
    <n v="859"/>
    <n v="2"/>
    <x v="1"/>
    <n v="73"/>
    <n v="3"/>
    <n v="2"/>
    <x v="0"/>
    <x v="0"/>
    <s v="Divorced"/>
    <n v="4403"/>
    <n v="9250"/>
    <n v="2"/>
    <s v="Y"/>
    <s v="No"/>
    <n v="11"/>
    <n v="3"/>
    <n v="3"/>
    <n v="80"/>
    <n v="1"/>
    <n v="8"/>
    <n v="3"/>
    <n v="2"/>
    <n v="5"/>
    <n v="2"/>
    <n v="0"/>
    <n v="3"/>
    <x v="1"/>
    <x v="2"/>
    <x v="2"/>
  </r>
  <r>
    <n v="30"/>
    <s v="No"/>
    <s v="Travel_Frequently"/>
    <n v="1012"/>
    <x v="1"/>
    <n v="5"/>
    <n v="4"/>
    <s v="Life Sciences"/>
    <n v="1"/>
    <n v="861"/>
    <n v="2"/>
    <x v="1"/>
    <n v="75"/>
    <n v="2"/>
    <n v="1"/>
    <x v="1"/>
    <x v="0"/>
    <s v="Divorced"/>
    <n v="3761"/>
    <n v="2373"/>
    <n v="9"/>
    <s v="Y"/>
    <s v="No"/>
    <n v="12"/>
    <n v="3"/>
    <n v="2"/>
    <n v="80"/>
    <n v="1"/>
    <n v="10"/>
    <n v="3"/>
    <n v="2"/>
    <n v="5"/>
    <n v="4"/>
    <n v="0"/>
    <n v="3"/>
    <x v="1"/>
    <x v="2"/>
    <x v="2"/>
  </r>
  <r>
    <n v="53"/>
    <s v="No"/>
    <s v="Travel_Rarely"/>
    <n v="661"/>
    <x v="0"/>
    <n v="7"/>
    <n v="2"/>
    <s v="Marketing"/>
    <n v="1"/>
    <n v="862"/>
    <n v="1"/>
    <x v="0"/>
    <n v="78"/>
    <n v="2"/>
    <n v="3"/>
    <x v="0"/>
    <x v="0"/>
    <s v="Married"/>
    <n v="10934"/>
    <n v="20715"/>
    <n v="7"/>
    <s v="Y"/>
    <s v="Yes"/>
    <n v="18"/>
    <n v="3"/>
    <n v="4"/>
    <n v="80"/>
    <n v="1"/>
    <n v="35"/>
    <n v="3"/>
    <n v="3"/>
    <n v="5"/>
    <n v="2"/>
    <n v="0"/>
    <n v="4"/>
    <x v="1"/>
    <x v="1"/>
    <x v="2"/>
  </r>
  <r>
    <n v="45"/>
    <s v="No"/>
    <s v="Travel_Rarely"/>
    <n v="930"/>
    <x v="0"/>
    <n v="9"/>
    <n v="3"/>
    <s v="Marketing"/>
    <n v="1"/>
    <n v="864"/>
    <n v="4"/>
    <x v="1"/>
    <n v="74"/>
    <n v="3"/>
    <n v="3"/>
    <x v="0"/>
    <x v="3"/>
    <s v="Divorced"/>
    <n v="10761"/>
    <n v="19239"/>
    <n v="4"/>
    <s v="Y"/>
    <s v="Yes"/>
    <n v="12"/>
    <n v="3"/>
    <n v="3"/>
    <n v="80"/>
    <n v="1"/>
    <n v="18"/>
    <n v="2"/>
    <n v="3"/>
    <n v="5"/>
    <n v="4"/>
    <n v="0"/>
    <n v="2"/>
    <x v="1"/>
    <x v="0"/>
    <x v="2"/>
  </r>
  <r>
    <n v="32"/>
    <s v="No"/>
    <s v="Travel_Rarely"/>
    <n v="638"/>
    <x v="1"/>
    <n v="8"/>
    <n v="2"/>
    <s v="Medical"/>
    <n v="1"/>
    <n v="865"/>
    <n v="3"/>
    <x v="0"/>
    <n v="91"/>
    <n v="4"/>
    <n v="2"/>
    <x v="1"/>
    <x v="2"/>
    <s v="Married"/>
    <n v="5175"/>
    <n v="22162"/>
    <n v="5"/>
    <s v="Y"/>
    <s v="No"/>
    <n v="12"/>
    <n v="3"/>
    <n v="3"/>
    <n v="80"/>
    <n v="1"/>
    <n v="9"/>
    <n v="3"/>
    <n v="2"/>
    <n v="5"/>
    <n v="3"/>
    <n v="1"/>
    <n v="3"/>
    <x v="1"/>
    <x v="2"/>
    <x v="2"/>
  </r>
  <r>
    <n v="52"/>
    <s v="No"/>
    <s v="Travel_Frequently"/>
    <n v="890"/>
    <x v="1"/>
    <n v="25"/>
    <n v="4"/>
    <s v="Medical"/>
    <n v="1"/>
    <n v="867"/>
    <n v="3"/>
    <x v="0"/>
    <n v="81"/>
    <n v="2"/>
    <n v="4"/>
    <x v="3"/>
    <x v="0"/>
    <s v="Married"/>
    <n v="13826"/>
    <n v="19028"/>
    <n v="3"/>
    <s v="Y"/>
    <s v="No"/>
    <n v="22"/>
    <n v="4"/>
    <n v="3"/>
    <n v="80"/>
    <n v="0"/>
    <n v="31"/>
    <n v="3"/>
    <n v="3"/>
    <n v="9"/>
    <n v="8"/>
    <n v="0"/>
    <n v="0"/>
    <x v="1"/>
    <x v="1"/>
    <x v="0"/>
  </r>
  <r>
    <n v="37"/>
    <s v="No"/>
    <s v="Travel_Rarely"/>
    <n v="342"/>
    <x v="0"/>
    <n v="16"/>
    <n v="4"/>
    <s v="Marketing"/>
    <n v="1"/>
    <n v="868"/>
    <n v="4"/>
    <x v="1"/>
    <n v="66"/>
    <n v="2"/>
    <n v="2"/>
    <x v="0"/>
    <x v="2"/>
    <s v="Divorced"/>
    <n v="6334"/>
    <n v="24558"/>
    <n v="4"/>
    <s v="Y"/>
    <s v="No"/>
    <n v="19"/>
    <n v="3"/>
    <n v="4"/>
    <n v="80"/>
    <n v="2"/>
    <n v="9"/>
    <n v="2"/>
    <n v="3"/>
    <n v="1"/>
    <n v="0"/>
    <n v="0"/>
    <n v="0"/>
    <x v="1"/>
    <x v="0"/>
    <x v="1"/>
  </r>
  <r>
    <n v="28"/>
    <s v="No"/>
    <s v="Travel_Rarely"/>
    <n v="1169"/>
    <x v="2"/>
    <n v="8"/>
    <n v="2"/>
    <s v="Medical"/>
    <n v="1"/>
    <n v="869"/>
    <n v="2"/>
    <x v="1"/>
    <n v="63"/>
    <n v="2"/>
    <n v="1"/>
    <x v="8"/>
    <x v="0"/>
    <s v="Divorced"/>
    <n v="4936"/>
    <n v="23965"/>
    <n v="1"/>
    <s v="Y"/>
    <s v="No"/>
    <n v="13"/>
    <n v="3"/>
    <n v="4"/>
    <n v="80"/>
    <n v="1"/>
    <n v="6"/>
    <n v="6"/>
    <n v="3"/>
    <n v="5"/>
    <n v="1"/>
    <n v="0"/>
    <n v="4"/>
    <x v="1"/>
    <x v="2"/>
    <x v="2"/>
  </r>
  <r>
    <n v="22"/>
    <s v="No"/>
    <s v="Travel_Rarely"/>
    <n v="1230"/>
    <x v="1"/>
    <n v="1"/>
    <n v="2"/>
    <s v="Life Sciences"/>
    <n v="1"/>
    <n v="872"/>
    <n v="4"/>
    <x v="1"/>
    <n v="33"/>
    <n v="2"/>
    <n v="2"/>
    <x v="3"/>
    <x v="0"/>
    <s v="Married"/>
    <n v="4775"/>
    <n v="19146"/>
    <n v="6"/>
    <s v="Y"/>
    <s v="No"/>
    <n v="22"/>
    <n v="4"/>
    <n v="1"/>
    <n v="80"/>
    <n v="2"/>
    <n v="4"/>
    <n v="2"/>
    <n v="1"/>
    <n v="2"/>
    <n v="2"/>
    <n v="2"/>
    <n v="2"/>
    <x v="1"/>
    <x v="3"/>
    <x v="1"/>
  </r>
  <r>
    <n v="44"/>
    <s v="No"/>
    <s v="Travel_Rarely"/>
    <n v="986"/>
    <x v="1"/>
    <n v="8"/>
    <n v="4"/>
    <s v="Life Sciences"/>
    <n v="1"/>
    <n v="874"/>
    <n v="1"/>
    <x v="1"/>
    <n v="62"/>
    <n v="4"/>
    <n v="1"/>
    <x v="2"/>
    <x v="0"/>
    <s v="Married"/>
    <n v="2818"/>
    <n v="5044"/>
    <n v="2"/>
    <s v="Y"/>
    <s v="Yes"/>
    <n v="24"/>
    <n v="4"/>
    <n v="3"/>
    <n v="80"/>
    <n v="1"/>
    <n v="10"/>
    <n v="2"/>
    <n v="2"/>
    <n v="3"/>
    <n v="2"/>
    <n v="0"/>
    <n v="2"/>
    <x v="1"/>
    <x v="0"/>
    <x v="2"/>
  </r>
  <r>
    <n v="42"/>
    <s v="No"/>
    <s v="Travel_Frequently"/>
    <n v="1271"/>
    <x v="1"/>
    <n v="2"/>
    <n v="1"/>
    <s v="Medical"/>
    <n v="1"/>
    <n v="875"/>
    <n v="2"/>
    <x v="1"/>
    <n v="35"/>
    <n v="3"/>
    <n v="1"/>
    <x v="1"/>
    <x v="0"/>
    <s v="Single"/>
    <n v="2515"/>
    <n v="9068"/>
    <n v="5"/>
    <s v="Y"/>
    <s v="Yes"/>
    <n v="14"/>
    <n v="3"/>
    <n v="4"/>
    <n v="80"/>
    <n v="0"/>
    <n v="8"/>
    <n v="2"/>
    <n v="3"/>
    <n v="2"/>
    <n v="1"/>
    <n v="2"/>
    <n v="2"/>
    <x v="1"/>
    <x v="0"/>
    <x v="1"/>
  </r>
  <r>
    <n v="36"/>
    <s v="No"/>
    <s v="Travel_Rarely"/>
    <n v="1278"/>
    <x v="2"/>
    <n v="8"/>
    <n v="3"/>
    <s v="Life Sciences"/>
    <n v="1"/>
    <n v="878"/>
    <n v="1"/>
    <x v="1"/>
    <n v="77"/>
    <n v="2"/>
    <n v="1"/>
    <x v="8"/>
    <x v="3"/>
    <s v="Married"/>
    <n v="2342"/>
    <n v="8635"/>
    <n v="0"/>
    <s v="Y"/>
    <s v="No"/>
    <n v="21"/>
    <n v="4"/>
    <n v="3"/>
    <n v="80"/>
    <n v="0"/>
    <n v="6"/>
    <n v="3"/>
    <n v="3"/>
    <n v="5"/>
    <n v="4"/>
    <n v="0"/>
    <n v="3"/>
    <x v="1"/>
    <x v="0"/>
    <x v="2"/>
  </r>
  <r>
    <n v="25"/>
    <s v="No"/>
    <s v="Travel_Rarely"/>
    <n v="141"/>
    <x v="0"/>
    <n v="3"/>
    <n v="1"/>
    <s v="Other"/>
    <n v="1"/>
    <n v="879"/>
    <n v="3"/>
    <x v="1"/>
    <n v="98"/>
    <n v="3"/>
    <n v="2"/>
    <x v="0"/>
    <x v="3"/>
    <s v="Married"/>
    <n v="4194"/>
    <n v="14363"/>
    <n v="1"/>
    <s v="Y"/>
    <s v="Yes"/>
    <n v="18"/>
    <n v="3"/>
    <n v="4"/>
    <n v="80"/>
    <n v="0"/>
    <n v="5"/>
    <n v="3"/>
    <n v="3"/>
    <n v="5"/>
    <n v="3"/>
    <n v="0"/>
    <n v="3"/>
    <x v="1"/>
    <x v="3"/>
    <x v="2"/>
  </r>
  <r>
    <n v="35"/>
    <s v="No"/>
    <s v="Travel_Rarely"/>
    <n v="607"/>
    <x v="1"/>
    <n v="9"/>
    <n v="3"/>
    <s v="Life Sciences"/>
    <n v="1"/>
    <n v="880"/>
    <n v="4"/>
    <x v="0"/>
    <n v="66"/>
    <n v="2"/>
    <n v="3"/>
    <x v="3"/>
    <x v="2"/>
    <s v="Married"/>
    <n v="10685"/>
    <n v="23457"/>
    <n v="1"/>
    <s v="Y"/>
    <s v="Yes"/>
    <n v="20"/>
    <n v="4"/>
    <n v="2"/>
    <n v="80"/>
    <n v="1"/>
    <n v="17"/>
    <n v="2"/>
    <n v="3"/>
    <n v="17"/>
    <n v="14"/>
    <n v="5"/>
    <n v="15"/>
    <x v="1"/>
    <x v="2"/>
    <x v="3"/>
  </r>
  <r>
    <n v="35"/>
    <s v="Yes"/>
    <s v="Travel_Frequently"/>
    <n v="130"/>
    <x v="1"/>
    <n v="25"/>
    <n v="4"/>
    <s v="Life Sciences"/>
    <n v="1"/>
    <n v="881"/>
    <n v="4"/>
    <x v="0"/>
    <n v="96"/>
    <n v="3"/>
    <n v="1"/>
    <x v="1"/>
    <x v="1"/>
    <s v="Divorced"/>
    <n v="2022"/>
    <n v="16612"/>
    <n v="1"/>
    <s v="Y"/>
    <s v="Yes"/>
    <n v="19"/>
    <n v="3"/>
    <n v="1"/>
    <n v="80"/>
    <n v="1"/>
    <n v="10"/>
    <n v="3"/>
    <n v="2"/>
    <n v="10"/>
    <n v="2"/>
    <n v="7"/>
    <n v="8"/>
    <x v="0"/>
    <x v="2"/>
    <x v="0"/>
  </r>
  <r>
    <n v="32"/>
    <s v="No"/>
    <s v="Non-Travel"/>
    <n v="300"/>
    <x v="1"/>
    <n v="1"/>
    <n v="3"/>
    <s v="Life Sciences"/>
    <n v="1"/>
    <n v="882"/>
    <n v="4"/>
    <x v="1"/>
    <n v="61"/>
    <n v="3"/>
    <n v="1"/>
    <x v="2"/>
    <x v="0"/>
    <s v="Divorced"/>
    <n v="2314"/>
    <n v="9148"/>
    <n v="0"/>
    <s v="Y"/>
    <s v="No"/>
    <n v="12"/>
    <n v="3"/>
    <n v="2"/>
    <n v="80"/>
    <n v="1"/>
    <n v="4"/>
    <n v="2"/>
    <n v="3"/>
    <n v="3"/>
    <n v="0"/>
    <n v="0"/>
    <n v="2"/>
    <x v="1"/>
    <x v="2"/>
    <x v="2"/>
  </r>
  <r>
    <n v="25"/>
    <s v="No"/>
    <s v="Travel_Rarely"/>
    <n v="583"/>
    <x v="0"/>
    <n v="4"/>
    <n v="1"/>
    <s v="Marketing"/>
    <n v="1"/>
    <n v="885"/>
    <n v="3"/>
    <x v="1"/>
    <n v="87"/>
    <n v="2"/>
    <n v="2"/>
    <x v="0"/>
    <x v="3"/>
    <s v="Married"/>
    <n v="4256"/>
    <n v="18154"/>
    <n v="1"/>
    <s v="Y"/>
    <s v="No"/>
    <n v="12"/>
    <n v="3"/>
    <n v="1"/>
    <n v="80"/>
    <n v="0"/>
    <n v="5"/>
    <n v="1"/>
    <n v="4"/>
    <n v="5"/>
    <n v="2"/>
    <n v="0"/>
    <n v="3"/>
    <x v="1"/>
    <x v="3"/>
    <x v="2"/>
  </r>
  <r>
    <n v="49"/>
    <s v="No"/>
    <s v="Travel_Rarely"/>
    <n v="1418"/>
    <x v="1"/>
    <n v="1"/>
    <n v="3"/>
    <s v="Technical Degree"/>
    <n v="1"/>
    <n v="887"/>
    <n v="3"/>
    <x v="0"/>
    <n v="36"/>
    <n v="3"/>
    <n v="1"/>
    <x v="1"/>
    <x v="3"/>
    <s v="Married"/>
    <n v="3580"/>
    <n v="10554"/>
    <n v="2"/>
    <s v="Y"/>
    <s v="No"/>
    <n v="16"/>
    <n v="3"/>
    <n v="2"/>
    <n v="80"/>
    <n v="1"/>
    <n v="7"/>
    <n v="2"/>
    <n v="3"/>
    <n v="4"/>
    <n v="2"/>
    <n v="0"/>
    <n v="2"/>
    <x v="1"/>
    <x v="1"/>
    <x v="2"/>
  </r>
  <r>
    <n v="24"/>
    <s v="No"/>
    <s v="Non-Travel"/>
    <n v="1269"/>
    <x v="1"/>
    <n v="4"/>
    <n v="1"/>
    <s v="Life Sciences"/>
    <n v="1"/>
    <n v="888"/>
    <n v="1"/>
    <x v="1"/>
    <n v="46"/>
    <n v="2"/>
    <n v="1"/>
    <x v="2"/>
    <x v="0"/>
    <s v="Married"/>
    <n v="3162"/>
    <n v="10778"/>
    <n v="0"/>
    <s v="Y"/>
    <s v="No"/>
    <n v="17"/>
    <n v="3"/>
    <n v="4"/>
    <n v="80"/>
    <n v="0"/>
    <n v="6"/>
    <n v="2"/>
    <n v="2"/>
    <n v="5"/>
    <n v="2"/>
    <n v="3"/>
    <n v="4"/>
    <x v="1"/>
    <x v="3"/>
    <x v="2"/>
  </r>
  <r>
    <n v="32"/>
    <s v="No"/>
    <s v="Travel_Frequently"/>
    <n v="379"/>
    <x v="0"/>
    <n v="5"/>
    <n v="2"/>
    <s v="Life Sciences"/>
    <n v="1"/>
    <n v="889"/>
    <n v="2"/>
    <x v="1"/>
    <n v="48"/>
    <n v="3"/>
    <n v="2"/>
    <x v="0"/>
    <x v="1"/>
    <s v="Married"/>
    <n v="6524"/>
    <n v="8891"/>
    <n v="1"/>
    <s v="Y"/>
    <s v="No"/>
    <n v="14"/>
    <n v="3"/>
    <n v="4"/>
    <n v="80"/>
    <n v="1"/>
    <n v="10"/>
    <n v="3"/>
    <n v="3"/>
    <n v="10"/>
    <n v="8"/>
    <n v="5"/>
    <n v="3"/>
    <x v="1"/>
    <x v="2"/>
    <x v="0"/>
  </r>
  <r>
    <n v="38"/>
    <s v="No"/>
    <s v="Travel_Rarely"/>
    <n v="395"/>
    <x v="0"/>
    <n v="9"/>
    <n v="3"/>
    <s v="Marketing"/>
    <n v="1"/>
    <n v="893"/>
    <n v="2"/>
    <x v="1"/>
    <n v="98"/>
    <n v="2"/>
    <n v="1"/>
    <x v="6"/>
    <x v="1"/>
    <s v="Married"/>
    <n v="2899"/>
    <n v="12102"/>
    <n v="0"/>
    <s v="Y"/>
    <s v="No"/>
    <n v="19"/>
    <n v="3"/>
    <n v="4"/>
    <n v="80"/>
    <n v="1"/>
    <n v="3"/>
    <n v="3"/>
    <n v="3"/>
    <n v="2"/>
    <n v="2"/>
    <n v="1"/>
    <n v="2"/>
    <x v="1"/>
    <x v="0"/>
    <x v="1"/>
  </r>
  <r>
    <n v="42"/>
    <s v="No"/>
    <s v="Travel_Rarely"/>
    <n v="1265"/>
    <x v="1"/>
    <n v="3"/>
    <n v="3"/>
    <s v="Life Sciences"/>
    <n v="1"/>
    <n v="894"/>
    <n v="3"/>
    <x v="0"/>
    <n v="95"/>
    <n v="4"/>
    <n v="2"/>
    <x v="2"/>
    <x v="0"/>
    <s v="Married"/>
    <n v="5231"/>
    <n v="23726"/>
    <n v="2"/>
    <s v="Y"/>
    <s v="Yes"/>
    <n v="13"/>
    <n v="3"/>
    <n v="2"/>
    <n v="80"/>
    <n v="1"/>
    <n v="17"/>
    <n v="1"/>
    <n v="2"/>
    <n v="5"/>
    <n v="3"/>
    <n v="1"/>
    <n v="3"/>
    <x v="1"/>
    <x v="0"/>
    <x v="2"/>
  </r>
  <r>
    <n v="31"/>
    <s v="No"/>
    <s v="Travel_Rarely"/>
    <n v="1222"/>
    <x v="1"/>
    <n v="11"/>
    <n v="4"/>
    <s v="Life Sciences"/>
    <n v="1"/>
    <n v="895"/>
    <n v="4"/>
    <x v="1"/>
    <n v="48"/>
    <n v="3"/>
    <n v="1"/>
    <x v="1"/>
    <x v="0"/>
    <s v="Married"/>
    <n v="2356"/>
    <n v="14871"/>
    <n v="3"/>
    <s v="Y"/>
    <s v="Yes"/>
    <n v="19"/>
    <n v="3"/>
    <n v="2"/>
    <n v="80"/>
    <n v="1"/>
    <n v="8"/>
    <n v="2"/>
    <n v="3"/>
    <n v="6"/>
    <n v="4"/>
    <n v="0"/>
    <n v="2"/>
    <x v="1"/>
    <x v="2"/>
    <x v="0"/>
  </r>
  <r>
    <n v="29"/>
    <s v="Yes"/>
    <s v="Travel_Rarely"/>
    <n v="341"/>
    <x v="0"/>
    <n v="1"/>
    <n v="3"/>
    <s v="Medical"/>
    <n v="1"/>
    <n v="896"/>
    <n v="2"/>
    <x v="0"/>
    <n v="48"/>
    <n v="2"/>
    <n v="1"/>
    <x v="6"/>
    <x v="2"/>
    <s v="Divorced"/>
    <n v="2800"/>
    <n v="23522"/>
    <n v="6"/>
    <s v="Y"/>
    <s v="Yes"/>
    <n v="19"/>
    <n v="3"/>
    <n v="3"/>
    <n v="80"/>
    <n v="3"/>
    <n v="5"/>
    <n v="3"/>
    <n v="3"/>
    <n v="3"/>
    <n v="2"/>
    <n v="0"/>
    <n v="2"/>
    <x v="0"/>
    <x v="2"/>
    <x v="2"/>
  </r>
  <r>
    <n v="53"/>
    <s v="No"/>
    <s v="Travel_Rarely"/>
    <n v="868"/>
    <x v="0"/>
    <n v="8"/>
    <n v="3"/>
    <s v="Marketing"/>
    <n v="1"/>
    <n v="897"/>
    <n v="1"/>
    <x v="1"/>
    <n v="73"/>
    <n v="3"/>
    <n v="4"/>
    <x v="0"/>
    <x v="0"/>
    <s v="Married"/>
    <n v="11836"/>
    <n v="22789"/>
    <n v="5"/>
    <s v="Y"/>
    <s v="No"/>
    <n v="14"/>
    <n v="3"/>
    <n v="3"/>
    <n v="80"/>
    <n v="1"/>
    <n v="28"/>
    <n v="3"/>
    <n v="3"/>
    <n v="2"/>
    <n v="0"/>
    <n v="2"/>
    <n v="2"/>
    <x v="1"/>
    <x v="1"/>
    <x v="1"/>
  </r>
  <r>
    <n v="35"/>
    <s v="No"/>
    <s v="Travel_Rarely"/>
    <n v="672"/>
    <x v="1"/>
    <n v="25"/>
    <n v="3"/>
    <s v="Technical Degree"/>
    <n v="1"/>
    <n v="899"/>
    <n v="4"/>
    <x v="1"/>
    <n v="78"/>
    <n v="2"/>
    <n v="3"/>
    <x v="3"/>
    <x v="1"/>
    <s v="Married"/>
    <n v="10903"/>
    <n v="9129"/>
    <n v="3"/>
    <s v="Y"/>
    <s v="No"/>
    <n v="16"/>
    <n v="3"/>
    <n v="1"/>
    <n v="80"/>
    <n v="0"/>
    <n v="16"/>
    <n v="2"/>
    <n v="3"/>
    <n v="13"/>
    <n v="10"/>
    <n v="4"/>
    <n v="8"/>
    <x v="1"/>
    <x v="2"/>
    <x v="3"/>
  </r>
  <r>
    <n v="37"/>
    <s v="No"/>
    <s v="Travel_Frequently"/>
    <n v="1231"/>
    <x v="0"/>
    <n v="21"/>
    <n v="2"/>
    <s v="Medical"/>
    <n v="1"/>
    <n v="900"/>
    <n v="3"/>
    <x v="0"/>
    <n v="54"/>
    <n v="3"/>
    <n v="1"/>
    <x v="6"/>
    <x v="0"/>
    <s v="Married"/>
    <n v="2973"/>
    <n v="21222"/>
    <n v="5"/>
    <s v="Y"/>
    <s v="No"/>
    <n v="15"/>
    <n v="3"/>
    <n v="2"/>
    <n v="80"/>
    <n v="1"/>
    <n v="10"/>
    <n v="3"/>
    <n v="3"/>
    <n v="5"/>
    <n v="4"/>
    <n v="0"/>
    <n v="0"/>
    <x v="1"/>
    <x v="0"/>
    <x v="2"/>
  </r>
  <r>
    <n v="53"/>
    <s v="No"/>
    <s v="Travel_Rarely"/>
    <n v="102"/>
    <x v="1"/>
    <n v="23"/>
    <n v="4"/>
    <s v="Life Sciences"/>
    <n v="1"/>
    <n v="901"/>
    <n v="4"/>
    <x v="0"/>
    <n v="72"/>
    <n v="3"/>
    <n v="4"/>
    <x v="7"/>
    <x v="0"/>
    <s v="Single"/>
    <n v="14275"/>
    <n v="20206"/>
    <n v="6"/>
    <s v="Y"/>
    <s v="No"/>
    <n v="18"/>
    <n v="3"/>
    <n v="3"/>
    <n v="80"/>
    <n v="0"/>
    <n v="33"/>
    <n v="0"/>
    <n v="3"/>
    <n v="12"/>
    <n v="9"/>
    <n v="3"/>
    <n v="8"/>
    <x v="1"/>
    <x v="1"/>
    <x v="3"/>
  </r>
  <r>
    <n v="43"/>
    <s v="No"/>
    <s v="Travel_Frequently"/>
    <n v="422"/>
    <x v="1"/>
    <n v="1"/>
    <n v="3"/>
    <s v="Life Sciences"/>
    <n v="1"/>
    <n v="902"/>
    <n v="4"/>
    <x v="0"/>
    <n v="33"/>
    <n v="3"/>
    <n v="2"/>
    <x v="4"/>
    <x v="0"/>
    <s v="Married"/>
    <n v="5562"/>
    <n v="21782"/>
    <n v="4"/>
    <s v="Y"/>
    <s v="No"/>
    <n v="13"/>
    <n v="3"/>
    <n v="2"/>
    <n v="80"/>
    <n v="1"/>
    <n v="12"/>
    <n v="2"/>
    <n v="2"/>
    <n v="5"/>
    <n v="2"/>
    <n v="2"/>
    <n v="2"/>
    <x v="1"/>
    <x v="0"/>
    <x v="2"/>
  </r>
  <r>
    <n v="47"/>
    <s v="No"/>
    <s v="Travel_Rarely"/>
    <n v="249"/>
    <x v="0"/>
    <n v="2"/>
    <n v="2"/>
    <s v="Marketing"/>
    <n v="1"/>
    <n v="903"/>
    <n v="3"/>
    <x v="0"/>
    <n v="35"/>
    <n v="3"/>
    <n v="2"/>
    <x v="0"/>
    <x v="0"/>
    <s v="Married"/>
    <n v="4537"/>
    <n v="17783"/>
    <n v="0"/>
    <s v="Y"/>
    <s v="Yes"/>
    <n v="22"/>
    <n v="4"/>
    <n v="1"/>
    <n v="80"/>
    <n v="1"/>
    <n v="8"/>
    <n v="2"/>
    <n v="3"/>
    <n v="7"/>
    <n v="6"/>
    <n v="7"/>
    <n v="7"/>
    <x v="1"/>
    <x v="1"/>
    <x v="0"/>
  </r>
  <r>
    <n v="37"/>
    <s v="No"/>
    <s v="Non-Travel"/>
    <n v="1252"/>
    <x v="0"/>
    <n v="19"/>
    <n v="2"/>
    <s v="Medical"/>
    <n v="1"/>
    <n v="904"/>
    <n v="1"/>
    <x v="1"/>
    <n v="32"/>
    <n v="3"/>
    <n v="3"/>
    <x v="0"/>
    <x v="1"/>
    <s v="Single"/>
    <n v="7642"/>
    <n v="4814"/>
    <n v="1"/>
    <s v="Y"/>
    <s v="Yes"/>
    <n v="13"/>
    <n v="3"/>
    <n v="4"/>
    <n v="80"/>
    <n v="0"/>
    <n v="10"/>
    <n v="2"/>
    <n v="3"/>
    <n v="10"/>
    <n v="0"/>
    <n v="0"/>
    <n v="9"/>
    <x v="1"/>
    <x v="0"/>
    <x v="0"/>
  </r>
  <r>
    <n v="50"/>
    <s v="No"/>
    <s v="Non-Travel"/>
    <n v="881"/>
    <x v="1"/>
    <n v="2"/>
    <n v="4"/>
    <s v="Life Sciences"/>
    <n v="1"/>
    <n v="905"/>
    <n v="1"/>
    <x v="1"/>
    <n v="98"/>
    <n v="3"/>
    <n v="4"/>
    <x v="5"/>
    <x v="3"/>
    <s v="Divorced"/>
    <n v="17924"/>
    <n v="4544"/>
    <n v="1"/>
    <s v="Y"/>
    <s v="No"/>
    <n v="11"/>
    <n v="3"/>
    <n v="4"/>
    <n v="80"/>
    <n v="1"/>
    <n v="31"/>
    <n v="3"/>
    <n v="3"/>
    <n v="31"/>
    <n v="6"/>
    <n v="14"/>
    <n v="7"/>
    <x v="1"/>
    <x v="1"/>
    <x v="3"/>
  </r>
  <r>
    <n v="39"/>
    <s v="No"/>
    <s v="Travel_Rarely"/>
    <n v="1383"/>
    <x v="2"/>
    <n v="2"/>
    <n v="3"/>
    <s v="Life Sciences"/>
    <n v="1"/>
    <n v="909"/>
    <n v="4"/>
    <x v="0"/>
    <n v="42"/>
    <n v="2"/>
    <n v="2"/>
    <x v="8"/>
    <x v="0"/>
    <s v="Married"/>
    <n v="5204"/>
    <n v="7790"/>
    <n v="8"/>
    <s v="Y"/>
    <s v="No"/>
    <n v="11"/>
    <n v="3"/>
    <n v="3"/>
    <n v="80"/>
    <n v="2"/>
    <n v="13"/>
    <n v="2"/>
    <n v="3"/>
    <n v="5"/>
    <n v="4"/>
    <n v="0"/>
    <n v="4"/>
    <x v="1"/>
    <x v="0"/>
    <x v="2"/>
  </r>
  <r>
    <n v="33"/>
    <s v="No"/>
    <s v="Travel_Rarely"/>
    <n v="1075"/>
    <x v="2"/>
    <n v="3"/>
    <n v="2"/>
    <s v="Human Resources"/>
    <n v="1"/>
    <n v="910"/>
    <n v="4"/>
    <x v="1"/>
    <n v="57"/>
    <n v="3"/>
    <n v="1"/>
    <x v="8"/>
    <x v="1"/>
    <s v="Divorced"/>
    <n v="2277"/>
    <n v="22650"/>
    <n v="3"/>
    <s v="Y"/>
    <s v="Yes"/>
    <n v="11"/>
    <n v="3"/>
    <n v="3"/>
    <n v="80"/>
    <n v="1"/>
    <n v="7"/>
    <n v="4"/>
    <n v="4"/>
    <n v="4"/>
    <n v="3"/>
    <n v="0"/>
    <n v="3"/>
    <x v="1"/>
    <x v="2"/>
    <x v="2"/>
  </r>
  <r>
    <n v="32"/>
    <s v="Yes"/>
    <s v="Travel_Rarely"/>
    <n v="374"/>
    <x v="1"/>
    <n v="25"/>
    <n v="4"/>
    <s v="Life Sciences"/>
    <n v="1"/>
    <n v="911"/>
    <n v="1"/>
    <x v="1"/>
    <n v="87"/>
    <n v="3"/>
    <n v="1"/>
    <x v="2"/>
    <x v="0"/>
    <s v="Single"/>
    <n v="2795"/>
    <n v="18016"/>
    <n v="1"/>
    <s v="Y"/>
    <s v="Yes"/>
    <n v="24"/>
    <n v="4"/>
    <n v="3"/>
    <n v="80"/>
    <n v="0"/>
    <n v="1"/>
    <n v="2"/>
    <n v="1"/>
    <n v="1"/>
    <n v="0"/>
    <n v="0"/>
    <n v="1"/>
    <x v="0"/>
    <x v="2"/>
    <x v="1"/>
  </r>
  <r>
    <n v="29"/>
    <s v="No"/>
    <s v="Travel_Rarely"/>
    <n v="1086"/>
    <x v="1"/>
    <n v="7"/>
    <n v="1"/>
    <s v="Medical"/>
    <n v="1"/>
    <n v="912"/>
    <n v="1"/>
    <x v="0"/>
    <n v="62"/>
    <n v="2"/>
    <n v="1"/>
    <x v="2"/>
    <x v="0"/>
    <s v="Divorced"/>
    <n v="2532"/>
    <n v="6054"/>
    <n v="6"/>
    <s v="Y"/>
    <s v="No"/>
    <n v="14"/>
    <n v="3"/>
    <n v="3"/>
    <n v="80"/>
    <n v="3"/>
    <n v="8"/>
    <n v="5"/>
    <n v="3"/>
    <n v="4"/>
    <n v="3"/>
    <n v="0"/>
    <n v="3"/>
    <x v="1"/>
    <x v="2"/>
    <x v="2"/>
  </r>
  <r>
    <n v="44"/>
    <s v="No"/>
    <s v="Travel_Rarely"/>
    <n v="661"/>
    <x v="1"/>
    <n v="9"/>
    <n v="2"/>
    <s v="Life Sciences"/>
    <n v="1"/>
    <n v="913"/>
    <n v="2"/>
    <x v="1"/>
    <n v="61"/>
    <n v="3"/>
    <n v="1"/>
    <x v="1"/>
    <x v="3"/>
    <s v="Married"/>
    <n v="2559"/>
    <n v="7508"/>
    <n v="1"/>
    <s v="Y"/>
    <s v="Yes"/>
    <n v="13"/>
    <n v="3"/>
    <n v="4"/>
    <n v="80"/>
    <n v="0"/>
    <n v="8"/>
    <n v="0"/>
    <n v="3"/>
    <n v="8"/>
    <n v="7"/>
    <n v="7"/>
    <n v="1"/>
    <x v="1"/>
    <x v="0"/>
    <x v="0"/>
  </r>
  <r>
    <n v="28"/>
    <s v="No"/>
    <s v="Travel_Rarely"/>
    <n v="821"/>
    <x v="0"/>
    <n v="5"/>
    <n v="4"/>
    <s v="Medical"/>
    <n v="1"/>
    <n v="916"/>
    <n v="1"/>
    <x v="1"/>
    <n v="98"/>
    <n v="3"/>
    <n v="2"/>
    <x v="0"/>
    <x v="0"/>
    <s v="Single"/>
    <n v="4908"/>
    <n v="24252"/>
    <n v="1"/>
    <s v="Y"/>
    <s v="No"/>
    <n v="14"/>
    <n v="3"/>
    <n v="2"/>
    <n v="80"/>
    <n v="0"/>
    <n v="4"/>
    <n v="3"/>
    <n v="3"/>
    <n v="4"/>
    <n v="2"/>
    <n v="0"/>
    <n v="2"/>
    <x v="1"/>
    <x v="2"/>
    <x v="2"/>
  </r>
  <r>
    <n v="58"/>
    <s v="Yes"/>
    <s v="Travel_Frequently"/>
    <n v="781"/>
    <x v="1"/>
    <n v="2"/>
    <n v="1"/>
    <s v="Life Sciences"/>
    <n v="1"/>
    <n v="918"/>
    <n v="4"/>
    <x v="1"/>
    <n v="57"/>
    <n v="2"/>
    <n v="1"/>
    <x v="2"/>
    <x v="0"/>
    <s v="Divorced"/>
    <n v="2380"/>
    <n v="13384"/>
    <n v="9"/>
    <s v="Y"/>
    <s v="Yes"/>
    <n v="14"/>
    <n v="3"/>
    <n v="4"/>
    <n v="80"/>
    <n v="1"/>
    <n v="3"/>
    <n v="3"/>
    <n v="2"/>
    <n v="1"/>
    <n v="0"/>
    <n v="0"/>
    <n v="0"/>
    <x v="0"/>
    <x v="1"/>
    <x v="1"/>
  </r>
  <r>
    <n v="43"/>
    <s v="No"/>
    <s v="Travel_Rarely"/>
    <n v="177"/>
    <x v="1"/>
    <n v="8"/>
    <n v="3"/>
    <s v="Life Sciences"/>
    <n v="1"/>
    <n v="920"/>
    <n v="1"/>
    <x v="0"/>
    <n v="55"/>
    <n v="3"/>
    <n v="2"/>
    <x v="3"/>
    <x v="1"/>
    <s v="Divorced"/>
    <n v="4765"/>
    <n v="23814"/>
    <n v="4"/>
    <s v="Y"/>
    <s v="No"/>
    <n v="21"/>
    <n v="4"/>
    <n v="3"/>
    <n v="80"/>
    <n v="1"/>
    <n v="4"/>
    <n v="2"/>
    <n v="4"/>
    <n v="1"/>
    <n v="0"/>
    <n v="0"/>
    <n v="0"/>
    <x v="1"/>
    <x v="0"/>
    <x v="1"/>
  </r>
  <r>
    <n v="20"/>
    <s v="Yes"/>
    <s v="Travel_Rarely"/>
    <n v="500"/>
    <x v="0"/>
    <n v="2"/>
    <n v="3"/>
    <s v="Medical"/>
    <n v="1"/>
    <n v="922"/>
    <n v="3"/>
    <x v="0"/>
    <n v="49"/>
    <n v="2"/>
    <n v="1"/>
    <x v="6"/>
    <x v="2"/>
    <s v="Single"/>
    <n v="2044"/>
    <n v="22052"/>
    <n v="1"/>
    <s v="Y"/>
    <s v="No"/>
    <n v="13"/>
    <n v="3"/>
    <n v="4"/>
    <n v="80"/>
    <n v="0"/>
    <n v="2"/>
    <n v="3"/>
    <n v="2"/>
    <n v="2"/>
    <n v="2"/>
    <n v="0"/>
    <n v="2"/>
    <x v="0"/>
    <x v="3"/>
    <x v="1"/>
  </r>
  <r>
    <n v="21"/>
    <s v="Yes"/>
    <s v="Travel_Rarely"/>
    <n v="1427"/>
    <x v="1"/>
    <n v="18"/>
    <n v="1"/>
    <s v="Other"/>
    <n v="1"/>
    <n v="923"/>
    <n v="4"/>
    <x v="0"/>
    <n v="65"/>
    <n v="3"/>
    <n v="1"/>
    <x v="1"/>
    <x v="0"/>
    <s v="Single"/>
    <n v="2693"/>
    <n v="8870"/>
    <n v="1"/>
    <s v="Y"/>
    <s v="No"/>
    <n v="19"/>
    <n v="3"/>
    <n v="1"/>
    <n v="80"/>
    <n v="0"/>
    <n v="1"/>
    <n v="3"/>
    <n v="2"/>
    <n v="1"/>
    <n v="0"/>
    <n v="0"/>
    <n v="0"/>
    <x v="0"/>
    <x v="3"/>
    <x v="1"/>
  </r>
  <r>
    <n v="36"/>
    <s v="No"/>
    <s v="Travel_Rarely"/>
    <n v="1425"/>
    <x v="1"/>
    <n v="14"/>
    <n v="1"/>
    <s v="Life Sciences"/>
    <n v="1"/>
    <n v="924"/>
    <n v="3"/>
    <x v="1"/>
    <n v="68"/>
    <n v="3"/>
    <n v="2"/>
    <x v="4"/>
    <x v="0"/>
    <s v="Married"/>
    <n v="6586"/>
    <n v="4821"/>
    <n v="0"/>
    <s v="Y"/>
    <s v="Yes"/>
    <n v="17"/>
    <n v="3"/>
    <n v="1"/>
    <n v="80"/>
    <n v="1"/>
    <n v="17"/>
    <n v="2"/>
    <n v="2"/>
    <n v="16"/>
    <n v="8"/>
    <n v="4"/>
    <n v="11"/>
    <x v="1"/>
    <x v="0"/>
    <x v="3"/>
  </r>
  <r>
    <n v="47"/>
    <s v="No"/>
    <s v="Travel_Rarely"/>
    <n v="1454"/>
    <x v="0"/>
    <n v="2"/>
    <n v="4"/>
    <s v="Life Sciences"/>
    <n v="1"/>
    <n v="925"/>
    <n v="4"/>
    <x v="0"/>
    <n v="65"/>
    <n v="2"/>
    <n v="1"/>
    <x v="6"/>
    <x v="0"/>
    <s v="Single"/>
    <n v="3294"/>
    <n v="13137"/>
    <n v="1"/>
    <s v="Y"/>
    <s v="Yes"/>
    <n v="18"/>
    <n v="3"/>
    <n v="1"/>
    <n v="80"/>
    <n v="0"/>
    <n v="3"/>
    <n v="3"/>
    <n v="2"/>
    <n v="3"/>
    <n v="2"/>
    <n v="1"/>
    <n v="2"/>
    <x v="1"/>
    <x v="1"/>
    <x v="2"/>
  </r>
  <r>
    <n v="22"/>
    <s v="Yes"/>
    <s v="Travel_Rarely"/>
    <n v="617"/>
    <x v="1"/>
    <n v="3"/>
    <n v="1"/>
    <s v="Life Sciences"/>
    <n v="1"/>
    <n v="926"/>
    <n v="2"/>
    <x v="0"/>
    <n v="34"/>
    <n v="3"/>
    <n v="2"/>
    <x v="3"/>
    <x v="2"/>
    <s v="Married"/>
    <n v="4171"/>
    <n v="10022"/>
    <n v="0"/>
    <s v="Y"/>
    <s v="Yes"/>
    <n v="19"/>
    <n v="3"/>
    <n v="1"/>
    <n v="80"/>
    <n v="1"/>
    <n v="4"/>
    <n v="3"/>
    <n v="4"/>
    <n v="3"/>
    <n v="2"/>
    <n v="0"/>
    <n v="2"/>
    <x v="0"/>
    <x v="3"/>
    <x v="2"/>
  </r>
  <r>
    <n v="41"/>
    <s v="Yes"/>
    <s v="Travel_Rarely"/>
    <n v="1085"/>
    <x v="1"/>
    <n v="2"/>
    <n v="4"/>
    <s v="Life Sciences"/>
    <n v="1"/>
    <n v="927"/>
    <n v="2"/>
    <x v="0"/>
    <n v="57"/>
    <n v="1"/>
    <n v="1"/>
    <x v="2"/>
    <x v="0"/>
    <s v="Divorced"/>
    <n v="2778"/>
    <n v="17725"/>
    <n v="4"/>
    <s v="Y"/>
    <s v="Yes"/>
    <n v="13"/>
    <n v="3"/>
    <n v="3"/>
    <n v="80"/>
    <n v="1"/>
    <n v="10"/>
    <n v="1"/>
    <n v="2"/>
    <n v="7"/>
    <n v="7"/>
    <n v="1"/>
    <n v="0"/>
    <x v="0"/>
    <x v="0"/>
    <x v="0"/>
  </r>
  <r>
    <n v="28"/>
    <s v="No"/>
    <s v="Travel_Rarely"/>
    <n v="995"/>
    <x v="1"/>
    <n v="9"/>
    <n v="3"/>
    <s v="Medical"/>
    <n v="1"/>
    <n v="930"/>
    <n v="3"/>
    <x v="0"/>
    <n v="77"/>
    <n v="3"/>
    <n v="1"/>
    <x v="1"/>
    <x v="2"/>
    <s v="Divorced"/>
    <n v="2377"/>
    <n v="9834"/>
    <n v="5"/>
    <s v="Y"/>
    <s v="No"/>
    <n v="18"/>
    <n v="3"/>
    <n v="2"/>
    <n v="80"/>
    <n v="1"/>
    <n v="6"/>
    <n v="2"/>
    <n v="3"/>
    <n v="2"/>
    <n v="2"/>
    <n v="2"/>
    <n v="2"/>
    <x v="1"/>
    <x v="2"/>
    <x v="1"/>
  </r>
  <r>
    <n v="39"/>
    <s v="Yes"/>
    <s v="Travel_Rarely"/>
    <n v="1122"/>
    <x v="1"/>
    <n v="6"/>
    <n v="3"/>
    <s v="Medical"/>
    <n v="1"/>
    <n v="932"/>
    <n v="4"/>
    <x v="1"/>
    <n v="70"/>
    <n v="3"/>
    <n v="1"/>
    <x v="2"/>
    <x v="3"/>
    <s v="Married"/>
    <n v="2404"/>
    <n v="4303"/>
    <n v="7"/>
    <s v="Y"/>
    <s v="Yes"/>
    <n v="21"/>
    <n v="4"/>
    <n v="4"/>
    <n v="80"/>
    <n v="0"/>
    <n v="8"/>
    <n v="2"/>
    <n v="1"/>
    <n v="2"/>
    <n v="2"/>
    <n v="2"/>
    <n v="2"/>
    <x v="0"/>
    <x v="0"/>
    <x v="1"/>
  </r>
  <r>
    <n v="27"/>
    <s v="No"/>
    <s v="Travel_Rarely"/>
    <n v="618"/>
    <x v="1"/>
    <n v="4"/>
    <n v="3"/>
    <s v="Life Sciences"/>
    <n v="1"/>
    <n v="933"/>
    <n v="2"/>
    <x v="0"/>
    <n v="76"/>
    <n v="3"/>
    <n v="1"/>
    <x v="1"/>
    <x v="2"/>
    <s v="Single"/>
    <n v="2318"/>
    <n v="17808"/>
    <n v="1"/>
    <s v="Y"/>
    <s v="No"/>
    <n v="19"/>
    <n v="3"/>
    <n v="3"/>
    <n v="80"/>
    <n v="0"/>
    <n v="1"/>
    <n v="2"/>
    <n v="3"/>
    <n v="1"/>
    <n v="1"/>
    <n v="0"/>
    <n v="0"/>
    <x v="1"/>
    <x v="2"/>
    <x v="1"/>
  </r>
  <r>
    <n v="34"/>
    <s v="No"/>
    <s v="Travel_Rarely"/>
    <n v="546"/>
    <x v="1"/>
    <n v="10"/>
    <n v="3"/>
    <s v="Life Sciences"/>
    <n v="1"/>
    <n v="934"/>
    <n v="2"/>
    <x v="1"/>
    <n v="83"/>
    <n v="3"/>
    <n v="1"/>
    <x v="2"/>
    <x v="1"/>
    <s v="Divorced"/>
    <n v="2008"/>
    <n v="6896"/>
    <n v="1"/>
    <s v="Y"/>
    <s v="No"/>
    <n v="14"/>
    <n v="3"/>
    <n v="2"/>
    <n v="80"/>
    <n v="2"/>
    <n v="1"/>
    <n v="3"/>
    <n v="3"/>
    <n v="1"/>
    <n v="0"/>
    <n v="1"/>
    <n v="0"/>
    <x v="1"/>
    <x v="2"/>
    <x v="1"/>
  </r>
  <r>
    <n v="42"/>
    <s v="No"/>
    <s v="Travel_Rarely"/>
    <n v="462"/>
    <x v="0"/>
    <n v="14"/>
    <n v="2"/>
    <s v="Medical"/>
    <n v="1"/>
    <n v="936"/>
    <n v="3"/>
    <x v="0"/>
    <n v="68"/>
    <n v="2"/>
    <n v="2"/>
    <x v="0"/>
    <x v="2"/>
    <s v="Single"/>
    <n v="6244"/>
    <n v="7824"/>
    <n v="7"/>
    <s v="Y"/>
    <s v="No"/>
    <n v="17"/>
    <n v="3"/>
    <n v="1"/>
    <n v="80"/>
    <n v="0"/>
    <n v="10"/>
    <n v="6"/>
    <n v="3"/>
    <n v="5"/>
    <n v="4"/>
    <n v="0"/>
    <n v="3"/>
    <x v="1"/>
    <x v="0"/>
    <x v="2"/>
  </r>
  <r>
    <n v="33"/>
    <s v="No"/>
    <s v="Travel_Rarely"/>
    <n v="1198"/>
    <x v="1"/>
    <n v="1"/>
    <n v="4"/>
    <s v="Other"/>
    <n v="1"/>
    <n v="939"/>
    <n v="3"/>
    <x v="1"/>
    <n v="100"/>
    <n v="2"/>
    <n v="1"/>
    <x v="1"/>
    <x v="3"/>
    <s v="Single"/>
    <n v="2799"/>
    <n v="3339"/>
    <n v="3"/>
    <s v="Y"/>
    <s v="Yes"/>
    <n v="11"/>
    <n v="3"/>
    <n v="2"/>
    <n v="80"/>
    <n v="0"/>
    <n v="6"/>
    <n v="1"/>
    <n v="3"/>
    <n v="3"/>
    <n v="2"/>
    <n v="0"/>
    <n v="2"/>
    <x v="1"/>
    <x v="2"/>
    <x v="2"/>
  </r>
  <r>
    <n v="58"/>
    <s v="No"/>
    <s v="Travel_Rarely"/>
    <n v="1272"/>
    <x v="1"/>
    <n v="5"/>
    <n v="3"/>
    <s v="Technical Degree"/>
    <n v="1"/>
    <n v="940"/>
    <n v="3"/>
    <x v="0"/>
    <n v="37"/>
    <n v="2"/>
    <n v="3"/>
    <x v="4"/>
    <x v="1"/>
    <s v="Divorced"/>
    <n v="10552"/>
    <n v="9255"/>
    <n v="2"/>
    <s v="Y"/>
    <s v="Yes"/>
    <n v="13"/>
    <n v="3"/>
    <n v="4"/>
    <n v="80"/>
    <n v="1"/>
    <n v="24"/>
    <n v="3"/>
    <n v="3"/>
    <n v="6"/>
    <n v="0"/>
    <n v="0"/>
    <n v="4"/>
    <x v="1"/>
    <x v="1"/>
    <x v="0"/>
  </r>
  <r>
    <n v="31"/>
    <s v="No"/>
    <s v="Travel_Rarely"/>
    <n v="154"/>
    <x v="0"/>
    <n v="7"/>
    <n v="4"/>
    <s v="Life Sciences"/>
    <n v="1"/>
    <n v="941"/>
    <n v="2"/>
    <x v="1"/>
    <n v="41"/>
    <n v="2"/>
    <n v="1"/>
    <x v="6"/>
    <x v="2"/>
    <s v="Married"/>
    <n v="2329"/>
    <n v="11737"/>
    <n v="3"/>
    <s v="Y"/>
    <s v="No"/>
    <n v="15"/>
    <n v="3"/>
    <n v="2"/>
    <n v="80"/>
    <n v="0"/>
    <n v="13"/>
    <n v="2"/>
    <n v="4"/>
    <n v="7"/>
    <n v="7"/>
    <n v="5"/>
    <n v="2"/>
    <x v="1"/>
    <x v="2"/>
    <x v="0"/>
  </r>
  <r>
    <n v="35"/>
    <s v="No"/>
    <s v="Travel_Rarely"/>
    <n v="1137"/>
    <x v="1"/>
    <n v="21"/>
    <n v="1"/>
    <s v="Life Sciences"/>
    <n v="1"/>
    <n v="942"/>
    <n v="4"/>
    <x v="0"/>
    <n v="51"/>
    <n v="3"/>
    <n v="2"/>
    <x v="4"/>
    <x v="0"/>
    <s v="Married"/>
    <n v="4014"/>
    <n v="19170"/>
    <n v="1"/>
    <s v="Y"/>
    <s v="Yes"/>
    <n v="25"/>
    <n v="4"/>
    <n v="4"/>
    <n v="80"/>
    <n v="1"/>
    <n v="10"/>
    <n v="2"/>
    <n v="1"/>
    <n v="10"/>
    <n v="6"/>
    <n v="0"/>
    <n v="7"/>
    <x v="1"/>
    <x v="2"/>
    <x v="0"/>
  </r>
  <r>
    <n v="49"/>
    <s v="No"/>
    <s v="Travel_Rarely"/>
    <n v="527"/>
    <x v="1"/>
    <n v="8"/>
    <n v="2"/>
    <s v="Other"/>
    <n v="1"/>
    <n v="944"/>
    <n v="1"/>
    <x v="0"/>
    <n v="51"/>
    <n v="3"/>
    <n v="3"/>
    <x v="2"/>
    <x v="1"/>
    <s v="Married"/>
    <n v="7403"/>
    <n v="22477"/>
    <n v="4"/>
    <s v="Y"/>
    <s v="No"/>
    <n v="11"/>
    <n v="3"/>
    <n v="3"/>
    <n v="80"/>
    <n v="1"/>
    <n v="29"/>
    <n v="3"/>
    <n v="2"/>
    <n v="26"/>
    <n v="9"/>
    <n v="1"/>
    <n v="7"/>
    <x v="1"/>
    <x v="1"/>
    <x v="3"/>
  </r>
  <r>
    <n v="48"/>
    <s v="No"/>
    <s v="Travel_Rarely"/>
    <n v="1469"/>
    <x v="1"/>
    <n v="20"/>
    <n v="4"/>
    <s v="Medical"/>
    <n v="1"/>
    <n v="945"/>
    <n v="4"/>
    <x v="1"/>
    <n v="51"/>
    <n v="3"/>
    <n v="1"/>
    <x v="1"/>
    <x v="2"/>
    <s v="Married"/>
    <n v="2259"/>
    <n v="5543"/>
    <n v="4"/>
    <s v="Y"/>
    <s v="No"/>
    <n v="17"/>
    <n v="3"/>
    <n v="1"/>
    <n v="80"/>
    <n v="2"/>
    <n v="13"/>
    <n v="2"/>
    <n v="2"/>
    <n v="0"/>
    <n v="0"/>
    <n v="0"/>
    <n v="0"/>
    <x v="1"/>
    <x v="1"/>
    <x v="1"/>
  </r>
  <r>
    <n v="31"/>
    <s v="No"/>
    <s v="Non-Travel"/>
    <n v="1188"/>
    <x v="0"/>
    <n v="20"/>
    <n v="2"/>
    <s v="Marketing"/>
    <n v="1"/>
    <n v="947"/>
    <n v="4"/>
    <x v="0"/>
    <n v="45"/>
    <n v="3"/>
    <n v="2"/>
    <x v="0"/>
    <x v="2"/>
    <s v="Married"/>
    <n v="6932"/>
    <n v="24406"/>
    <n v="1"/>
    <s v="Y"/>
    <s v="No"/>
    <n v="13"/>
    <n v="3"/>
    <n v="4"/>
    <n v="80"/>
    <n v="1"/>
    <n v="9"/>
    <n v="2"/>
    <n v="2"/>
    <n v="9"/>
    <n v="8"/>
    <n v="0"/>
    <n v="0"/>
    <x v="1"/>
    <x v="2"/>
    <x v="0"/>
  </r>
  <r>
    <n v="36"/>
    <s v="No"/>
    <s v="Travel_Rarely"/>
    <n v="188"/>
    <x v="1"/>
    <n v="7"/>
    <n v="4"/>
    <s v="Other"/>
    <n v="1"/>
    <n v="949"/>
    <n v="2"/>
    <x v="1"/>
    <n v="65"/>
    <n v="3"/>
    <n v="1"/>
    <x v="1"/>
    <x v="0"/>
    <s v="Single"/>
    <n v="4678"/>
    <n v="23293"/>
    <n v="2"/>
    <s v="Y"/>
    <s v="No"/>
    <n v="18"/>
    <n v="3"/>
    <n v="3"/>
    <n v="80"/>
    <n v="0"/>
    <n v="8"/>
    <n v="6"/>
    <n v="3"/>
    <n v="6"/>
    <n v="2"/>
    <n v="0"/>
    <n v="1"/>
    <x v="1"/>
    <x v="0"/>
    <x v="0"/>
  </r>
  <r>
    <n v="38"/>
    <s v="No"/>
    <s v="Travel_Rarely"/>
    <n v="1333"/>
    <x v="1"/>
    <n v="1"/>
    <n v="3"/>
    <s v="Technical Degree"/>
    <n v="1"/>
    <n v="950"/>
    <n v="4"/>
    <x v="0"/>
    <n v="80"/>
    <n v="3"/>
    <n v="3"/>
    <x v="7"/>
    <x v="3"/>
    <s v="Married"/>
    <n v="13582"/>
    <n v="16292"/>
    <n v="1"/>
    <s v="Y"/>
    <s v="No"/>
    <n v="13"/>
    <n v="3"/>
    <n v="2"/>
    <n v="80"/>
    <n v="1"/>
    <n v="15"/>
    <n v="3"/>
    <n v="3"/>
    <n v="15"/>
    <n v="12"/>
    <n v="5"/>
    <n v="11"/>
    <x v="1"/>
    <x v="0"/>
    <x v="3"/>
  </r>
  <r>
    <n v="32"/>
    <s v="No"/>
    <s v="Non-Travel"/>
    <n v="1184"/>
    <x v="1"/>
    <n v="1"/>
    <n v="3"/>
    <s v="Life Sciences"/>
    <n v="1"/>
    <n v="951"/>
    <n v="3"/>
    <x v="0"/>
    <n v="70"/>
    <n v="2"/>
    <n v="1"/>
    <x v="2"/>
    <x v="1"/>
    <s v="Married"/>
    <n v="2332"/>
    <n v="3974"/>
    <n v="6"/>
    <s v="Y"/>
    <s v="No"/>
    <n v="20"/>
    <n v="4"/>
    <n v="3"/>
    <n v="80"/>
    <n v="0"/>
    <n v="5"/>
    <n v="3"/>
    <n v="3"/>
    <n v="3"/>
    <n v="0"/>
    <n v="0"/>
    <n v="2"/>
    <x v="1"/>
    <x v="2"/>
    <x v="2"/>
  </r>
  <r>
    <n v="25"/>
    <s v="Yes"/>
    <s v="Travel_Rarely"/>
    <n v="867"/>
    <x v="0"/>
    <n v="19"/>
    <n v="2"/>
    <s v="Marketing"/>
    <n v="1"/>
    <n v="952"/>
    <n v="3"/>
    <x v="1"/>
    <n v="36"/>
    <n v="2"/>
    <n v="1"/>
    <x v="6"/>
    <x v="1"/>
    <s v="Married"/>
    <n v="2413"/>
    <n v="18798"/>
    <n v="1"/>
    <s v="Y"/>
    <s v="Yes"/>
    <n v="18"/>
    <n v="3"/>
    <n v="3"/>
    <n v="80"/>
    <n v="3"/>
    <n v="1"/>
    <n v="2"/>
    <n v="3"/>
    <n v="1"/>
    <n v="0"/>
    <n v="0"/>
    <n v="0"/>
    <x v="0"/>
    <x v="3"/>
    <x v="1"/>
  </r>
  <r>
    <n v="40"/>
    <s v="No"/>
    <s v="Travel_Rarely"/>
    <n v="658"/>
    <x v="0"/>
    <n v="10"/>
    <n v="4"/>
    <s v="Marketing"/>
    <n v="1"/>
    <n v="954"/>
    <n v="1"/>
    <x v="1"/>
    <n v="67"/>
    <n v="2"/>
    <n v="3"/>
    <x v="0"/>
    <x v="1"/>
    <s v="Divorced"/>
    <n v="9705"/>
    <n v="20652"/>
    <n v="2"/>
    <s v="Y"/>
    <s v="No"/>
    <n v="12"/>
    <n v="3"/>
    <n v="2"/>
    <n v="80"/>
    <n v="1"/>
    <n v="11"/>
    <n v="2"/>
    <n v="2"/>
    <n v="1"/>
    <n v="0"/>
    <n v="0"/>
    <n v="0"/>
    <x v="1"/>
    <x v="0"/>
    <x v="1"/>
  </r>
  <r>
    <n v="26"/>
    <s v="No"/>
    <s v="Travel_Frequently"/>
    <n v="1283"/>
    <x v="0"/>
    <n v="1"/>
    <n v="3"/>
    <s v="Medical"/>
    <n v="1"/>
    <n v="956"/>
    <n v="3"/>
    <x v="1"/>
    <n v="52"/>
    <n v="2"/>
    <n v="2"/>
    <x v="0"/>
    <x v="3"/>
    <s v="Single"/>
    <n v="4294"/>
    <n v="11148"/>
    <n v="1"/>
    <s v="Y"/>
    <s v="No"/>
    <n v="12"/>
    <n v="3"/>
    <n v="2"/>
    <n v="80"/>
    <n v="0"/>
    <n v="7"/>
    <n v="2"/>
    <n v="3"/>
    <n v="7"/>
    <n v="7"/>
    <n v="0"/>
    <n v="7"/>
    <x v="1"/>
    <x v="2"/>
    <x v="0"/>
  </r>
  <r>
    <n v="41"/>
    <s v="No"/>
    <s v="Travel_Rarely"/>
    <n v="263"/>
    <x v="1"/>
    <n v="6"/>
    <n v="3"/>
    <s v="Medical"/>
    <n v="1"/>
    <n v="957"/>
    <n v="4"/>
    <x v="1"/>
    <n v="59"/>
    <n v="3"/>
    <n v="1"/>
    <x v="2"/>
    <x v="3"/>
    <s v="Single"/>
    <n v="4721"/>
    <n v="3119"/>
    <n v="2"/>
    <s v="Y"/>
    <s v="Yes"/>
    <n v="13"/>
    <n v="3"/>
    <n v="3"/>
    <n v="80"/>
    <n v="0"/>
    <n v="20"/>
    <n v="3"/>
    <n v="3"/>
    <n v="18"/>
    <n v="13"/>
    <n v="2"/>
    <n v="17"/>
    <x v="1"/>
    <x v="0"/>
    <x v="3"/>
  </r>
  <r>
    <n v="36"/>
    <s v="No"/>
    <s v="Travel_Rarely"/>
    <n v="938"/>
    <x v="1"/>
    <n v="2"/>
    <n v="4"/>
    <s v="Medical"/>
    <n v="1"/>
    <n v="958"/>
    <n v="3"/>
    <x v="1"/>
    <n v="79"/>
    <n v="3"/>
    <n v="1"/>
    <x v="2"/>
    <x v="2"/>
    <s v="Single"/>
    <n v="2519"/>
    <n v="12287"/>
    <n v="4"/>
    <s v="Y"/>
    <s v="No"/>
    <n v="21"/>
    <n v="4"/>
    <n v="3"/>
    <n v="80"/>
    <n v="0"/>
    <n v="16"/>
    <n v="6"/>
    <n v="3"/>
    <n v="11"/>
    <n v="8"/>
    <n v="3"/>
    <n v="9"/>
    <x v="1"/>
    <x v="0"/>
    <x v="3"/>
  </r>
  <r>
    <n v="19"/>
    <s v="Yes"/>
    <s v="Travel_Rarely"/>
    <n v="419"/>
    <x v="0"/>
    <n v="21"/>
    <n v="3"/>
    <s v="Other"/>
    <n v="1"/>
    <n v="959"/>
    <n v="4"/>
    <x v="1"/>
    <n v="37"/>
    <n v="2"/>
    <n v="1"/>
    <x v="6"/>
    <x v="1"/>
    <s v="Single"/>
    <n v="2121"/>
    <n v="9947"/>
    <n v="1"/>
    <s v="Y"/>
    <s v="Yes"/>
    <n v="13"/>
    <n v="3"/>
    <n v="2"/>
    <n v="80"/>
    <n v="0"/>
    <n v="1"/>
    <n v="3"/>
    <n v="4"/>
    <n v="1"/>
    <n v="0"/>
    <n v="0"/>
    <n v="0"/>
    <x v="0"/>
    <x v="3"/>
    <x v="1"/>
  </r>
  <r>
    <n v="20"/>
    <s v="Yes"/>
    <s v="Travel_Rarely"/>
    <n v="129"/>
    <x v="1"/>
    <n v="4"/>
    <n v="3"/>
    <s v="Technical Degree"/>
    <n v="1"/>
    <n v="960"/>
    <n v="1"/>
    <x v="1"/>
    <n v="84"/>
    <n v="3"/>
    <n v="1"/>
    <x v="2"/>
    <x v="3"/>
    <s v="Single"/>
    <n v="2973"/>
    <n v="13008"/>
    <n v="1"/>
    <s v="Y"/>
    <s v="No"/>
    <n v="19"/>
    <n v="3"/>
    <n v="2"/>
    <n v="80"/>
    <n v="0"/>
    <n v="1"/>
    <n v="2"/>
    <n v="3"/>
    <n v="1"/>
    <n v="0"/>
    <n v="0"/>
    <n v="0"/>
    <x v="0"/>
    <x v="3"/>
    <x v="1"/>
  </r>
  <r>
    <n v="31"/>
    <s v="No"/>
    <s v="Travel_Rarely"/>
    <n v="616"/>
    <x v="1"/>
    <n v="12"/>
    <n v="3"/>
    <s v="Medical"/>
    <n v="1"/>
    <n v="961"/>
    <n v="4"/>
    <x v="0"/>
    <n v="41"/>
    <n v="3"/>
    <n v="2"/>
    <x v="4"/>
    <x v="0"/>
    <s v="Married"/>
    <n v="5855"/>
    <n v="17369"/>
    <n v="0"/>
    <s v="Y"/>
    <s v="Yes"/>
    <n v="11"/>
    <n v="3"/>
    <n v="3"/>
    <n v="80"/>
    <n v="2"/>
    <n v="10"/>
    <n v="2"/>
    <n v="1"/>
    <n v="9"/>
    <n v="7"/>
    <n v="8"/>
    <n v="5"/>
    <x v="1"/>
    <x v="2"/>
    <x v="0"/>
  </r>
  <r>
    <n v="40"/>
    <s v="No"/>
    <s v="Travel_Frequently"/>
    <n v="1469"/>
    <x v="1"/>
    <n v="9"/>
    <n v="4"/>
    <s v="Medical"/>
    <n v="1"/>
    <n v="964"/>
    <n v="4"/>
    <x v="1"/>
    <n v="35"/>
    <n v="3"/>
    <n v="1"/>
    <x v="1"/>
    <x v="1"/>
    <s v="Divorced"/>
    <n v="3617"/>
    <n v="25063"/>
    <n v="8"/>
    <s v="Y"/>
    <s v="Yes"/>
    <n v="14"/>
    <n v="3"/>
    <n v="4"/>
    <n v="80"/>
    <n v="1"/>
    <n v="3"/>
    <n v="2"/>
    <n v="3"/>
    <n v="1"/>
    <n v="1"/>
    <n v="0"/>
    <n v="0"/>
    <x v="1"/>
    <x v="0"/>
    <x v="1"/>
  </r>
  <r>
    <n v="32"/>
    <s v="No"/>
    <s v="Travel_Rarely"/>
    <n v="498"/>
    <x v="1"/>
    <n v="3"/>
    <n v="4"/>
    <s v="Medical"/>
    <n v="1"/>
    <n v="966"/>
    <n v="3"/>
    <x v="0"/>
    <n v="93"/>
    <n v="3"/>
    <n v="2"/>
    <x v="3"/>
    <x v="3"/>
    <s v="Married"/>
    <n v="6725"/>
    <n v="13554"/>
    <n v="1"/>
    <s v="Y"/>
    <s v="No"/>
    <n v="12"/>
    <n v="3"/>
    <n v="3"/>
    <n v="80"/>
    <n v="1"/>
    <n v="8"/>
    <n v="2"/>
    <n v="4"/>
    <n v="8"/>
    <n v="7"/>
    <n v="6"/>
    <n v="3"/>
    <x v="1"/>
    <x v="2"/>
    <x v="0"/>
  </r>
  <r>
    <n v="36"/>
    <s v="Yes"/>
    <s v="Travel_Rarely"/>
    <n v="530"/>
    <x v="0"/>
    <n v="3"/>
    <n v="1"/>
    <s v="Life Sciences"/>
    <n v="1"/>
    <n v="967"/>
    <n v="3"/>
    <x v="1"/>
    <n v="51"/>
    <n v="2"/>
    <n v="3"/>
    <x v="0"/>
    <x v="0"/>
    <s v="Married"/>
    <n v="10325"/>
    <n v="5518"/>
    <n v="1"/>
    <s v="Y"/>
    <s v="Yes"/>
    <n v="11"/>
    <n v="3"/>
    <n v="1"/>
    <n v="80"/>
    <n v="1"/>
    <n v="16"/>
    <n v="6"/>
    <n v="3"/>
    <n v="16"/>
    <n v="7"/>
    <n v="3"/>
    <n v="7"/>
    <x v="0"/>
    <x v="0"/>
    <x v="3"/>
  </r>
  <r>
    <n v="33"/>
    <s v="No"/>
    <s v="Travel_Rarely"/>
    <n v="1069"/>
    <x v="1"/>
    <n v="1"/>
    <n v="3"/>
    <s v="Life Sciences"/>
    <n v="1"/>
    <n v="969"/>
    <n v="2"/>
    <x v="0"/>
    <n v="42"/>
    <n v="2"/>
    <n v="2"/>
    <x v="4"/>
    <x v="0"/>
    <s v="Single"/>
    <n v="6949"/>
    <n v="12291"/>
    <n v="0"/>
    <s v="Y"/>
    <s v="No"/>
    <n v="14"/>
    <n v="3"/>
    <n v="1"/>
    <n v="80"/>
    <n v="0"/>
    <n v="6"/>
    <n v="3"/>
    <n v="3"/>
    <n v="5"/>
    <n v="0"/>
    <n v="1"/>
    <n v="4"/>
    <x v="1"/>
    <x v="2"/>
    <x v="2"/>
  </r>
  <r>
    <n v="37"/>
    <s v="Yes"/>
    <s v="Travel_Rarely"/>
    <n v="625"/>
    <x v="0"/>
    <n v="1"/>
    <n v="4"/>
    <s v="Life Sciences"/>
    <n v="1"/>
    <n v="970"/>
    <n v="1"/>
    <x v="1"/>
    <n v="46"/>
    <n v="2"/>
    <n v="3"/>
    <x v="0"/>
    <x v="2"/>
    <s v="Married"/>
    <n v="10609"/>
    <n v="14922"/>
    <n v="5"/>
    <s v="Y"/>
    <s v="No"/>
    <n v="11"/>
    <n v="3"/>
    <n v="3"/>
    <n v="80"/>
    <n v="0"/>
    <n v="17"/>
    <n v="2"/>
    <n v="1"/>
    <n v="14"/>
    <n v="1"/>
    <n v="11"/>
    <n v="7"/>
    <x v="0"/>
    <x v="0"/>
    <x v="3"/>
  </r>
  <r>
    <n v="45"/>
    <s v="No"/>
    <s v="Non-Travel"/>
    <n v="805"/>
    <x v="1"/>
    <n v="4"/>
    <n v="2"/>
    <s v="Life Sciences"/>
    <n v="1"/>
    <n v="972"/>
    <n v="3"/>
    <x v="1"/>
    <n v="57"/>
    <n v="3"/>
    <n v="2"/>
    <x v="2"/>
    <x v="1"/>
    <s v="Married"/>
    <n v="4447"/>
    <n v="23163"/>
    <n v="1"/>
    <s v="Y"/>
    <s v="No"/>
    <n v="12"/>
    <n v="3"/>
    <n v="2"/>
    <n v="80"/>
    <n v="0"/>
    <n v="9"/>
    <n v="5"/>
    <n v="2"/>
    <n v="9"/>
    <n v="7"/>
    <n v="0"/>
    <n v="8"/>
    <x v="1"/>
    <x v="0"/>
    <x v="0"/>
  </r>
  <r>
    <n v="29"/>
    <s v="No"/>
    <s v="Travel_Frequently"/>
    <n v="1404"/>
    <x v="0"/>
    <n v="20"/>
    <n v="3"/>
    <s v="Technical Degree"/>
    <n v="1"/>
    <n v="974"/>
    <n v="3"/>
    <x v="0"/>
    <n v="84"/>
    <n v="3"/>
    <n v="1"/>
    <x v="6"/>
    <x v="0"/>
    <s v="Married"/>
    <n v="2157"/>
    <n v="18203"/>
    <n v="1"/>
    <s v="Y"/>
    <s v="No"/>
    <n v="15"/>
    <n v="3"/>
    <n v="2"/>
    <n v="80"/>
    <n v="1"/>
    <n v="3"/>
    <n v="5"/>
    <n v="3"/>
    <n v="3"/>
    <n v="1"/>
    <n v="0"/>
    <n v="2"/>
    <x v="1"/>
    <x v="2"/>
    <x v="2"/>
  </r>
  <r>
    <n v="35"/>
    <s v="No"/>
    <s v="Travel_Rarely"/>
    <n v="1219"/>
    <x v="0"/>
    <n v="18"/>
    <n v="3"/>
    <s v="Medical"/>
    <n v="1"/>
    <n v="975"/>
    <n v="3"/>
    <x v="0"/>
    <n v="86"/>
    <n v="3"/>
    <n v="2"/>
    <x v="0"/>
    <x v="2"/>
    <s v="Married"/>
    <n v="4601"/>
    <n v="6179"/>
    <n v="1"/>
    <s v="Y"/>
    <s v="No"/>
    <n v="16"/>
    <n v="3"/>
    <n v="2"/>
    <n v="80"/>
    <n v="0"/>
    <n v="5"/>
    <n v="3"/>
    <n v="3"/>
    <n v="5"/>
    <n v="2"/>
    <n v="1"/>
    <n v="0"/>
    <x v="1"/>
    <x v="2"/>
    <x v="2"/>
  </r>
  <r>
    <n v="52"/>
    <s v="No"/>
    <s v="Travel_Rarely"/>
    <n v="1053"/>
    <x v="1"/>
    <n v="1"/>
    <n v="2"/>
    <s v="Life Sciences"/>
    <n v="1"/>
    <n v="976"/>
    <n v="4"/>
    <x v="1"/>
    <n v="70"/>
    <n v="3"/>
    <n v="4"/>
    <x v="5"/>
    <x v="0"/>
    <s v="Married"/>
    <n v="17099"/>
    <n v="13829"/>
    <n v="2"/>
    <s v="Y"/>
    <s v="No"/>
    <n v="15"/>
    <n v="3"/>
    <n v="2"/>
    <n v="80"/>
    <n v="1"/>
    <n v="26"/>
    <n v="2"/>
    <n v="2"/>
    <n v="9"/>
    <n v="8"/>
    <n v="7"/>
    <n v="8"/>
    <x v="1"/>
    <x v="1"/>
    <x v="0"/>
  </r>
  <r>
    <n v="58"/>
    <s v="Yes"/>
    <s v="Travel_Rarely"/>
    <n v="289"/>
    <x v="1"/>
    <n v="2"/>
    <n v="3"/>
    <s v="Technical Degree"/>
    <n v="1"/>
    <n v="977"/>
    <n v="4"/>
    <x v="1"/>
    <n v="51"/>
    <n v="3"/>
    <n v="1"/>
    <x v="1"/>
    <x v="2"/>
    <s v="Single"/>
    <n v="2479"/>
    <n v="26227"/>
    <n v="4"/>
    <s v="Y"/>
    <s v="No"/>
    <n v="24"/>
    <n v="4"/>
    <n v="1"/>
    <n v="80"/>
    <n v="0"/>
    <n v="7"/>
    <n v="4"/>
    <n v="3"/>
    <n v="1"/>
    <n v="0"/>
    <n v="0"/>
    <n v="0"/>
    <x v="0"/>
    <x v="1"/>
    <x v="1"/>
  </r>
  <r>
    <n v="53"/>
    <s v="No"/>
    <s v="Travel_Rarely"/>
    <n v="1376"/>
    <x v="0"/>
    <n v="2"/>
    <n v="2"/>
    <s v="Medical"/>
    <n v="1"/>
    <n v="981"/>
    <n v="3"/>
    <x v="1"/>
    <n v="45"/>
    <n v="3"/>
    <n v="4"/>
    <x v="5"/>
    <x v="2"/>
    <s v="Divorced"/>
    <n v="14852"/>
    <n v="13938"/>
    <n v="6"/>
    <s v="Y"/>
    <s v="No"/>
    <n v="13"/>
    <n v="3"/>
    <n v="3"/>
    <n v="80"/>
    <n v="1"/>
    <n v="22"/>
    <n v="3"/>
    <n v="4"/>
    <n v="17"/>
    <n v="13"/>
    <n v="15"/>
    <n v="2"/>
    <x v="1"/>
    <x v="1"/>
    <x v="3"/>
  </r>
  <r>
    <n v="30"/>
    <s v="No"/>
    <s v="Travel_Rarely"/>
    <n v="231"/>
    <x v="0"/>
    <n v="8"/>
    <n v="2"/>
    <s v="Other"/>
    <n v="1"/>
    <n v="982"/>
    <n v="3"/>
    <x v="1"/>
    <n v="62"/>
    <n v="3"/>
    <n v="3"/>
    <x v="0"/>
    <x v="2"/>
    <s v="Divorced"/>
    <n v="7264"/>
    <n v="9977"/>
    <n v="5"/>
    <s v="Y"/>
    <s v="No"/>
    <n v="11"/>
    <n v="3"/>
    <n v="1"/>
    <n v="80"/>
    <n v="1"/>
    <n v="10"/>
    <n v="2"/>
    <n v="4"/>
    <n v="8"/>
    <n v="4"/>
    <n v="7"/>
    <n v="7"/>
    <x v="1"/>
    <x v="2"/>
    <x v="0"/>
  </r>
  <r>
    <n v="38"/>
    <s v="No"/>
    <s v="Non-Travel"/>
    <n v="152"/>
    <x v="0"/>
    <n v="10"/>
    <n v="3"/>
    <s v="Technical Degree"/>
    <n v="1"/>
    <n v="983"/>
    <n v="3"/>
    <x v="0"/>
    <n v="85"/>
    <n v="3"/>
    <n v="2"/>
    <x v="0"/>
    <x v="0"/>
    <s v="Single"/>
    <n v="5666"/>
    <n v="19899"/>
    <n v="1"/>
    <s v="Y"/>
    <s v="Yes"/>
    <n v="13"/>
    <n v="3"/>
    <n v="2"/>
    <n v="80"/>
    <n v="0"/>
    <n v="6"/>
    <n v="1"/>
    <n v="3"/>
    <n v="5"/>
    <n v="3"/>
    <n v="1"/>
    <n v="3"/>
    <x v="1"/>
    <x v="0"/>
    <x v="2"/>
  </r>
  <r>
    <n v="35"/>
    <s v="No"/>
    <s v="Travel_Rarely"/>
    <n v="882"/>
    <x v="0"/>
    <n v="3"/>
    <n v="4"/>
    <s v="Life Sciences"/>
    <n v="1"/>
    <n v="984"/>
    <n v="4"/>
    <x v="1"/>
    <n v="92"/>
    <n v="3"/>
    <n v="3"/>
    <x v="0"/>
    <x v="0"/>
    <s v="Divorced"/>
    <n v="7823"/>
    <n v="6812"/>
    <n v="6"/>
    <s v="Y"/>
    <s v="No"/>
    <n v="13"/>
    <n v="3"/>
    <n v="2"/>
    <n v="80"/>
    <n v="1"/>
    <n v="12"/>
    <n v="2"/>
    <n v="3"/>
    <n v="10"/>
    <n v="9"/>
    <n v="0"/>
    <n v="8"/>
    <x v="1"/>
    <x v="2"/>
    <x v="0"/>
  </r>
  <r>
    <n v="39"/>
    <s v="No"/>
    <s v="Travel_Rarely"/>
    <n v="903"/>
    <x v="0"/>
    <n v="2"/>
    <n v="5"/>
    <s v="Life Sciences"/>
    <n v="1"/>
    <n v="985"/>
    <n v="1"/>
    <x v="1"/>
    <n v="41"/>
    <n v="4"/>
    <n v="3"/>
    <x v="0"/>
    <x v="2"/>
    <s v="Single"/>
    <n v="7880"/>
    <n v="2560"/>
    <n v="0"/>
    <s v="Y"/>
    <s v="No"/>
    <n v="18"/>
    <n v="3"/>
    <n v="4"/>
    <n v="80"/>
    <n v="0"/>
    <n v="9"/>
    <n v="3"/>
    <n v="3"/>
    <n v="8"/>
    <n v="7"/>
    <n v="0"/>
    <n v="7"/>
    <x v="1"/>
    <x v="0"/>
    <x v="0"/>
  </r>
  <r>
    <n v="40"/>
    <s v="Yes"/>
    <s v="Non-Travel"/>
    <n v="1479"/>
    <x v="0"/>
    <n v="24"/>
    <n v="3"/>
    <s v="Life Sciences"/>
    <n v="1"/>
    <n v="986"/>
    <n v="2"/>
    <x v="0"/>
    <n v="100"/>
    <n v="4"/>
    <n v="4"/>
    <x v="0"/>
    <x v="1"/>
    <s v="Single"/>
    <n v="13194"/>
    <n v="17071"/>
    <n v="4"/>
    <s v="Y"/>
    <s v="Yes"/>
    <n v="16"/>
    <n v="3"/>
    <n v="4"/>
    <n v="80"/>
    <n v="0"/>
    <n v="22"/>
    <n v="2"/>
    <n v="2"/>
    <n v="1"/>
    <n v="0"/>
    <n v="0"/>
    <n v="0"/>
    <x v="0"/>
    <x v="0"/>
    <x v="1"/>
  </r>
  <r>
    <n v="47"/>
    <s v="No"/>
    <s v="Travel_Frequently"/>
    <n v="1379"/>
    <x v="1"/>
    <n v="16"/>
    <n v="4"/>
    <s v="Medical"/>
    <n v="1"/>
    <n v="987"/>
    <n v="3"/>
    <x v="1"/>
    <n v="64"/>
    <n v="4"/>
    <n v="2"/>
    <x v="3"/>
    <x v="2"/>
    <s v="Divorced"/>
    <n v="5067"/>
    <n v="6759"/>
    <n v="1"/>
    <s v="Y"/>
    <s v="Yes"/>
    <n v="19"/>
    <n v="3"/>
    <n v="3"/>
    <n v="80"/>
    <n v="0"/>
    <n v="20"/>
    <n v="3"/>
    <n v="4"/>
    <n v="19"/>
    <n v="10"/>
    <n v="2"/>
    <n v="7"/>
    <x v="1"/>
    <x v="1"/>
    <x v="3"/>
  </r>
  <r>
    <n v="36"/>
    <s v="No"/>
    <s v="Non-Travel"/>
    <n v="1229"/>
    <x v="0"/>
    <n v="8"/>
    <n v="4"/>
    <s v="Technical Degree"/>
    <n v="1"/>
    <n v="990"/>
    <n v="1"/>
    <x v="1"/>
    <n v="84"/>
    <n v="3"/>
    <n v="2"/>
    <x v="0"/>
    <x v="0"/>
    <s v="Divorced"/>
    <n v="5079"/>
    <n v="25952"/>
    <n v="4"/>
    <s v="Y"/>
    <s v="No"/>
    <n v="13"/>
    <n v="3"/>
    <n v="4"/>
    <n v="80"/>
    <n v="2"/>
    <n v="12"/>
    <n v="3"/>
    <n v="3"/>
    <n v="7"/>
    <n v="7"/>
    <n v="0"/>
    <n v="7"/>
    <x v="1"/>
    <x v="0"/>
    <x v="0"/>
  </r>
  <r>
    <n v="31"/>
    <s v="Yes"/>
    <s v="Non-Travel"/>
    <n v="335"/>
    <x v="1"/>
    <n v="9"/>
    <n v="2"/>
    <s v="Medical"/>
    <n v="1"/>
    <n v="991"/>
    <n v="3"/>
    <x v="1"/>
    <n v="46"/>
    <n v="2"/>
    <n v="1"/>
    <x v="1"/>
    <x v="3"/>
    <s v="Single"/>
    <n v="2321"/>
    <n v="10322"/>
    <n v="0"/>
    <s v="Y"/>
    <s v="Yes"/>
    <n v="22"/>
    <n v="4"/>
    <n v="1"/>
    <n v="80"/>
    <n v="0"/>
    <n v="4"/>
    <n v="0"/>
    <n v="3"/>
    <n v="3"/>
    <n v="2"/>
    <n v="1"/>
    <n v="2"/>
    <x v="0"/>
    <x v="2"/>
    <x v="2"/>
  </r>
  <r>
    <n v="33"/>
    <s v="No"/>
    <s v="Non-Travel"/>
    <n v="722"/>
    <x v="0"/>
    <n v="17"/>
    <n v="3"/>
    <s v="Life Sciences"/>
    <n v="1"/>
    <n v="992"/>
    <n v="4"/>
    <x v="1"/>
    <n v="38"/>
    <n v="3"/>
    <n v="4"/>
    <x v="5"/>
    <x v="2"/>
    <s v="Single"/>
    <n v="17444"/>
    <n v="20489"/>
    <n v="1"/>
    <s v="Y"/>
    <s v="No"/>
    <n v="11"/>
    <n v="3"/>
    <n v="4"/>
    <n v="80"/>
    <n v="0"/>
    <n v="10"/>
    <n v="2"/>
    <n v="3"/>
    <n v="10"/>
    <n v="8"/>
    <n v="6"/>
    <n v="0"/>
    <x v="1"/>
    <x v="2"/>
    <x v="0"/>
  </r>
  <r>
    <n v="29"/>
    <s v="Yes"/>
    <s v="Travel_Rarely"/>
    <n v="906"/>
    <x v="1"/>
    <n v="10"/>
    <n v="3"/>
    <s v="Life Sciences"/>
    <n v="1"/>
    <n v="994"/>
    <n v="4"/>
    <x v="0"/>
    <n v="92"/>
    <n v="2"/>
    <n v="1"/>
    <x v="1"/>
    <x v="3"/>
    <s v="Single"/>
    <n v="2404"/>
    <n v="11479"/>
    <n v="6"/>
    <s v="Y"/>
    <s v="Yes"/>
    <n v="20"/>
    <n v="4"/>
    <n v="3"/>
    <n v="80"/>
    <n v="0"/>
    <n v="3"/>
    <n v="5"/>
    <n v="3"/>
    <n v="0"/>
    <n v="0"/>
    <n v="0"/>
    <n v="0"/>
    <x v="0"/>
    <x v="2"/>
    <x v="1"/>
  </r>
  <r>
    <n v="33"/>
    <s v="No"/>
    <s v="Travel_Rarely"/>
    <n v="461"/>
    <x v="1"/>
    <n v="13"/>
    <n v="1"/>
    <s v="Life Sciences"/>
    <n v="1"/>
    <n v="995"/>
    <n v="2"/>
    <x v="0"/>
    <n v="53"/>
    <n v="3"/>
    <n v="1"/>
    <x v="1"/>
    <x v="0"/>
    <s v="Single"/>
    <n v="3452"/>
    <n v="17241"/>
    <n v="3"/>
    <s v="Y"/>
    <s v="No"/>
    <n v="18"/>
    <n v="3"/>
    <n v="1"/>
    <n v="80"/>
    <n v="0"/>
    <n v="5"/>
    <n v="4"/>
    <n v="3"/>
    <n v="3"/>
    <n v="2"/>
    <n v="0"/>
    <n v="2"/>
    <x v="1"/>
    <x v="2"/>
    <x v="2"/>
  </r>
  <r>
    <n v="45"/>
    <s v="No"/>
    <s v="Travel_Rarely"/>
    <n v="974"/>
    <x v="1"/>
    <n v="1"/>
    <n v="4"/>
    <s v="Medical"/>
    <n v="1"/>
    <n v="996"/>
    <n v="4"/>
    <x v="0"/>
    <n v="91"/>
    <n v="3"/>
    <n v="1"/>
    <x v="2"/>
    <x v="0"/>
    <s v="Divorced"/>
    <n v="2270"/>
    <n v="11005"/>
    <n v="3"/>
    <s v="Y"/>
    <s v="No"/>
    <n v="14"/>
    <n v="3"/>
    <n v="4"/>
    <n v="80"/>
    <n v="2"/>
    <n v="8"/>
    <n v="2"/>
    <n v="3"/>
    <n v="5"/>
    <n v="3"/>
    <n v="0"/>
    <n v="2"/>
    <x v="1"/>
    <x v="0"/>
    <x v="2"/>
  </r>
  <r>
    <n v="50"/>
    <s v="No"/>
    <s v="Travel_Rarely"/>
    <n v="1126"/>
    <x v="1"/>
    <n v="1"/>
    <n v="2"/>
    <s v="Medical"/>
    <n v="1"/>
    <n v="997"/>
    <n v="4"/>
    <x v="1"/>
    <n v="66"/>
    <n v="3"/>
    <n v="4"/>
    <x v="7"/>
    <x v="0"/>
    <s v="Divorced"/>
    <n v="17399"/>
    <n v="6615"/>
    <n v="9"/>
    <s v="Y"/>
    <s v="No"/>
    <n v="22"/>
    <n v="4"/>
    <n v="3"/>
    <n v="80"/>
    <n v="1"/>
    <n v="32"/>
    <n v="1"/>
    <n v="2"/>
    <n v="5"/>
    <n v="4"/>
    <n v="1"/>
    <n v="3"/>
    <x v="1"/>
    <x v="1"/>
    <x v="2"/>
  </r>
  <r>
    <n v="33"/>
    <s v="No"/>
    <s v="Travel_Frequently"/>
    <n v="827"/>
    <x v="1"/>
    <n v="1"/>
    <n v="4"/>
    <s v="Other"/>
    <n v="1"/>
    <n v="998"/>
    <n v="3"/>
    <x v="0"/>
    <n v="84"/>
    <n v="4"/>
    <n v="2"/>
    <x v="4"/>
    <x v="1"/>
    <s v="Married"/>
    <n v="5488"/>
    <n v="20161"/>
    <n v="1"/>
    <s v="Y"/>
    <s v="Yes"/>
    <n v="13"/>
    <n v="3"/>
    <n v="1"/>
    <n v="80"/>
    <n v="1"/>
    <n v="6"/>
    <n v="2"/>
    <n v="3"/>
    <n v="6"/>
    <n v="5"/>
    <n v="1"/>
    <n v="2"/>
    <x v="1"/>
    <x v="2"/>
    <x v="0"/>
  </r>
  <r>
    <n v="41"/>
    <s v="No"/>
    <s v="Travel_Frequently"/>
    <n v="840"/>
    <x v="1"/>
    <n v="9"/>
    <n v="3"/>
    <s v="Medical"/>
    <n v="1"/>
    <n v="999"/>
    <n v="1"/>
    <x v="1"/>
    <n v="64"/>
    <n v="3"/>
    <n v="5"/>
    <x v="7"/>
    <x v="2"/>
    <s v="Divorced"/>
    <n v="19419"/>
    <n v="3735"/>
    <n v="2"/>
    <s v="Y"/>
    <s v="No"/>
    <n v="17"/>
    <n v="3"/>
    <n v="2"/>
    <n v="80"/>
    <n v="1"/>
    <n v="21"/>
    <n v="2"/>
    <n v="4"/>
    <n v="18"/>
    <n v="16"/>
    <n v="0"/>
    <n v="11"/>
    <x v="1"/>
    <x v="0"/>
    <x v="3"/>
  </r>
  <r>
    <n v="27"/>
    <s v="No"/>
    <s v="Travel_Rarely"/>
    <n v="1134"/>
    <x v="1"/>
    <n v="16"/>
    <n v="4"/>
    <s v="Technical Degree"/>
    <n v="1"/>
    <n v="1001"/>
    <n v="3"/>
    <x v="0"/>
    <n v="37"/>
    <n v="3"/>
    <n v="1"/>
    <x v="2"/>
    <x v="1"/>
    <s v="Married"/>
    <n v="2811"/>
    <n v="12086"/>
    <n v="9"/>
    <s v="Y"/>
    <s v="No"/>
    <n v="14"/>
    <n v="3"/>
    <n v="2"/>
    <n v="80"/>
    <n v="1"/>
    <n v="4"/>
    <n v="2"/>
    <n v="3"/>
    <n v="2"/>
    <n v="2"/>
    <n v="2"/>
    <n v="2"/>
    <x v="1"/>
    <x v="2"/>
    <x v="1"/>
  </r>
  <r>
    <n v="45"/>
    <s v="No"/>
    <s v="Non-Travel"/>
    <n v="248"/>
    <x v="1"/>
    <n v="23"/>
    <n v="2"/>
    <s v="Life Sciences"/>
    <n v="1"/>
    <n v="1002"/>
    <n v="4"/>
    <x v="1"/>
    <n v="42"/>
    <n v="3"/>
    <n v="2"/>
    <x v="2"/>
    <x v="3"/>
    <s v="Married"/>
    <n v="3633"/>
    <n v="14039"/>
    <n v="1"/>
    <s v="Y"/>
    <s v="Yes"/>
    <n v="15"/>
    <n v="3"/>
    <n v="3"/>
    <n v="80"/>
    <n v="1"/>
    <n v="9"/>
    <n v="2"/>
    <n v="3"/>
    <n v="9"/>
    <n v="8"/>
    <n v="0"/>
    <n v="8"/>
    <x v="1"/>
    <x v="0"/>
    <x v="0"/>
  </r>
  <r>
    <n v="47"/>
    <s v="No"/>
    <s v="Travel_Rarely"/>
    <n v="955"/>
    <x v="0"/>
    <n v="4"/>
    <n v="2"/>
    <s v="Life Sciences"/>
    <n v="1"/>
    <n v="1003"/>
    <n v="4"/>
    <x v="0"/>
    <n v="83"/>
    <n v="3"/>
    <n v="2"/>
    <x v="0"/>
    <x v="0"/>
    <s v="Single"/>
    <n v="4163"/>
    <n v="8571"/>
    <n v="1"/>
    <s v="Y"/>
    <s v="Yes"/>
    <n v="17"/>
    <n v="3"/>
    <n v="3"/>
    <n v="80"/>
    <n v="0"/>
    <n v="9"/>
    <n v="0"/>
    <n v="3"/>
    <n v="9"/>
    <n v="0"/>
    <n v="0"/>
    <n v="7"/>
    <x v="1"/>
    <x v="1"/>
    <x v="0"/>
  </r>
  <r>
    <n v="30"/>
    <s v="Yes"/>
    <s v="Travel_Rarely"/>
    <n v="138"/>
    <x v="1"/>
    <n v="22"/>
    <n v="3"/>
    <s v="Life Sciences"/>
    <n v="1"/>
    <n v="1004"/>
    <n v="1"/>
    <x v="0"/>
    <n v="48"/>
    <n v="3"/>
    <n v="1"/>
    <x v="1"/>
    <x v="2"/>
    <s v="Married"/>
    <n v="2132"/>
    <n v="11539"/>
    <n v="4"/>
    <s v="Y"/>
    <s v="Yes"/>
    <n v="11"/>
    <n v="3"/>
    <n v="2"/>
    <n v="80"/>
    <n v="0"/>
    <n v="7"/>
    <n v="2"/>
    <n v="3"/>
    <n v="5"/>
    <n v="2"/>
    <n v="0"/>
    <n v="1"/>
    <x v="0"/>
    <x v="2"/>
    <x v="2"/>
  </r>
  <r>
    <n v="50"/>
    <s v="No"/>
    <s v="Travel_Rarely"/>
    <n v="939"/>
    <x v="1"/>
    <n v="24"/>
    <n v="3"/>
    <s v="Life Sciences"/>
    <n v="1"/>
    <n v="1005"/>
    <n v="4"/>
    <x v="1"/>
    <n v="95"/>
    <n v="3"/>
    <n v="4"/>
    <x v="3"/>
    <x v="2"/>
    <s v="Married"/>
    <n v="13973"/>
    <n v="4161"/>
    <n v="3"/>
    <s v="Y"/>
    <s v="Yes"/>
    <n v="18"/>
    <n v="3"/>
    <n v="4"/>
    <n v="80"/>
    <n v="1"/>
    <n v="22"/>
    <n v="2"/>
    <n v="3"/>
    <n v="12"/>
    <n v="11"/>
    <n v="1"/>
    <n v="5"/>
    <x v="1"/>
    <x v="1"/>
    <x v="3"/>
  </r>
  <r>
    <n v="38"/>
    <s v="No"/>
    <s v="Travel_Frequently"/>
    <n v="1391"/>
    <x v="1"/>
    <n v="10"/>
    <n v="1"/>
    <s v="Medical"/>
    <n v="1"/>
    <n v="1006"/>
    <n v="3"/>
    <x v="1"/>
    <n v="66"/>
    <n v="3"/>
    <n v="1"/>
    <x v="1"/>
    <x v="2"/>
    <s v="Married"/>
    <n v="2684"/>
    <n v="12127"/>
    <n v="0"/>
    <s v="Y"/>
    <s v="No"/>
    <n v="17"/>
    <n v="3"/>
    <n v="2"/>
    <n v="80"/>
    <n v="1"/>
    <n v="3"/>
    <n v="0"/>
    <n v="2"/>
    <n v="2"/>
    <n v="1"/>
    <n v="0"/>
    <n v="2"/>
    <x v="1"/>
    <x v="0"/>
    <x v="1"/>
  </r>
  <r>
    <n v="46"/>
    <s v="No"/>
    <s v="Travel_Rarely"/>
    <n v="566"/>
    <x v="1"/>
    <n v="7"/>
    <n v="2"/>
    <s v="Medical"/>
    <n v="1"/>
    <n v="1007"/>
    <n v="4"/>
    <x v="1"/>
    <n v="75"/>
    <n v="3"/>
    <n v="3"/>
    <x v="3"/>
    <x v="2"/>
    <s v="Divorced"/>
    <n v="10845"/>
    <n v="24208"/>
    <n v="6"/>
    <s v="Y"/>
    <s v="No"/>
    <n v="13"/>
    <n v="3"/>
    <n v="2"/>
    <n v="80"/>
    <n v="1"/>
    <n v="13"/>
    <n v="3"/>
    <n v="3"/>
    <n v="8"/>
    <n v="7"/>
    <n v="0"/>
    <n v="7"/>
    <x v="1"/>
    <x v="1"/>
    <x v="0"/>
  </r>
  <r>
    <n v="24"/>
    <s v="No"/>
    <s v="Travel_Rarely"/>
    <n v="1206"/>
    <x v="1"/>
    <n v="17"/>
    <n v="1"/>
    <s v="Medical"/>
    <n v="1"/>
    <n v="1009"/>
    <n v="4"/>
    <x v="0"/>
    <n v="41"/>
    <n v="2"/>
    <n v="2"/>
    <x v="3"/>
    <x v="2"/>
    <s v="Divorced"/>
    <n v="4377"/>
    <n v="24117"/>
    <n v="1"/>
    <s v="Y"/>
    <s v="No"/>
    <n v="15"/>
    <n v="3"/>
    <n v="2"/>
    <n v="80"/>
    <n v="2"/>
    <n v="5"/>
    <n v="6"/>
    <n v="3"/>
    <n v="4"/>
    <n v="2"/>
    <n v="3"/>
    <n v="2"/>
    <x v="1"/>
    <x v="3"/>
    <x v="2"/>
  </r>
  <r>
    <n v="35"/>
    <s v="Yes"/>
    <s v="Travel_Rarely"/>
    <n v="622"/>
    <x v="1"/>
    <n v="14"/>
    <n v="4"/>
    <s v="Other"/>
    <n v="1"/>
    <n v="1010"/>
    <n v="3"/>
    <x v="1"/>
    <n v="39"/>
    <n v="2"/>
    <n v="1"/>
    <x v="2"/>
    <x v="1"/>
    <s v="Divorced"/>
    <n v="3743"/>
    <n v="10074"/>
    <n v="1"/>
    <s v="Y"/>
    <s v="Yes"/>
    <n v="24"/>
    <n v="4"/>
    <n v="4"/>
    <n v="80"/>
    <n v="1"/>
    <n v="5"/>
    <n v="2"/>
    <n v="1"/>
    <n v="4"/>
    <n v="2"/>
    <n v="0"/>
    <n v="2"/>
    <x v="0"/>
    <x v="2"/>
    <x v="2"/>
  </r>
  <r>
    <n v="31"/>
    <s v="No"/>
    <s v="Travel_Frequently"/>
    <n v="853"/>
    <x v="1"/>
    <n v="1"/>
    <n v="1"/>
    <s v="Life Sciences"/>
    <n v="1"/>
    <n v="1011"/>
    <n v="3"/>
    <x v="0"/>
    <n v="96"/>
    <n v="3"/>
    <n v="2"/>
    <x v="3"/>
    <x v="3"/>
    <s v="Married"/>
    <n v="4148"/>
    <n v="11275"/>
    <n v="1"/>
    <s v="Y"/>
    <s v="No"/>
    <n v="12"/>
    <n v="3"/>
    <n v="3"/>
    <n v="80"/>
    <n v="1"/>
    <n v="4"/>
    <n v="1"/>
    <n v="3"/>
    <n v="4"/>
    <n v="3"/>
    <n v="0"/>
    <n v="3"/>
    <x v="1"/>
    <x v="2"/>
    <x v="2"/>
  </r>
  <r>
    <n v="18"/>
    <s v="No"/>
    <s v="Non-Travel"/>
    <n v="287"/>
    <x v="1"/>
    <n v="5"/>
    <n v="2"/>
    <s v="Life Sciences"/>
    <n v="1"/>
    <n v="1012"/>
    <n v="2"/>
    <x v="1"/>
    <n v="73"/>
    <n v="3"/>
    <n v="1"/>
    <x v="1"/>
    <x v="0"/>
    <s v="Single"/>
    <n v="1051"/>
    <n v="13493"/>
    <n v="1"/>
    <s v="Y"/>
    <s v="No"/>
    <n v="15"/>
    <n v="3"/>
    <n v="4"/>
    <n v="80"/>
    <n v="0"/>
    <n v="0"/>
    <n v="2"/>
    <n v="3"/>
    <n v="0"/>
    <n v="0"/>
    <n v="0"/>
    <n v="0"/>
    <x v="1"/>
    <x v="3"/>
    <x v="1"/>
  </r>
  <r>
    <n v="54"/>
    <s v="No"/>
    <s v="Travel_Rarely"/>
    <n v="1441"/>
    <x v="1"/>
    <n v="17"/>
    <n v="3"/>
    <s v="Technical Degree"/>
    <n v="1"/>
    <n v="1013"/>
    <n v="3"/>
    <x v="0"/>
    <n v="56"/>
    <n v="3"/>
    <n v="3"/>
    <x v="3"/>
    <x v="2"/>
    <s v="Married"/>
    <n v="10739"/>
    <n v="13943"/>
    <n v="8"/>
    <s v="Y"/>
    <s v="No"/>
    <n v="11"/>
    <n v="3"/>
    <n v="3"/>
    <n v="80"/>
    <n v="1"/>
    <n v="22"/>
    <n v="2"/>
    <n v="3"/>
    <n v="10"/>
    <n v="7"/>
    <n v="0"/>
    <n v="8"/>
    <x v="1"/>
    <x v="1"/>
    <x v="0"/>
  </r>
  <r>
    <n v="35"/>
    <s v="No"/>
    <s v="Travel_Rarely"/>
    <n v="583"/>
    <x v="1"/>
    <n v="25"/>
    <n v="4"/>
    <s v="Medical"/>
    <n v="1"/>
    <n v="1014"/>
    <n v="3"/>
    <x v="0"/>
    <n v="57"/>
    <n v="3"/>
    <n v="3"/>
    <x v="4"/>
    <x v="2"/>
    <s v="Divorced"/>
    <n v="10388"/>
    <n v="6975"/>
    <n v="1"/>
    <s v="Y"/>
    <s v="Yes"/>
    <n v="11"/>
    <n v="3"/>
    <n v="3"/>
    <n v="80"/>
    <n v="1"/>
    <n v="16"/>
    <n v="3"/>
    <n v="2"/>
    <n v="16"/>
    <n v="10"/>
    <n v="10"/>
    <n v="1"/>
    <x v="1"/>
    <x v="2"/>
    <x v="3"/>
  </r>
  <r>
    <n v="30"/>
    <s v="No"/>
    <s v="Travel_Rarely"/>
    <n v="153"/>
    <x v="1"/>
    <n v="8"/>
    <n v="2"/>
    <s v="Life Sciences"/>
    <n v="1"/>
    <n v="1015"/>
    <n v="2"/>
    <x v="0"/>
    <n v="73"/>
    <n v="4"/>
    <n v="3"/>
    <x v="7"/>
    <x v="3"/>
    <s v="Married"/>
    <n v="11416"/>
    <n v="17802"/>
    <n v="0"/>
    <s v="Y"/>
    <s v="Yes"/>
    <n v="12"/>
    <n v="3"/>
    <n v="3"/>
    <n v="80"/>
    <n v="3"/>
    <n v="9"/>
    <n v="4"/>
    <n v="2"/>
    <n v="8"/>
    <n v="7"/>
    <n v="1"/>
    <n v="7"/>
    <x v="1"/>
    <x v="2"/>
    <x v="0"/>
  </r>
  <r>
    <n v="20"/>
    <s v="Yes"/>
    <s v="Travel_Rarely"/>
    <n v="1097"/>
    <x v="1"/>
    <n v="11"/>
    <n v="3"/>
    <s v="Medical"/>
    <n v="1"/>
    <n v="1016"/>
    <n v="4"/>
    <x v="0"/>
    <n v="98"/>
    <n v="2"/>
    <n v="1"/>
    <x v="1"/>
    <x v="3"/>
    <s v="Single"/>
    <n v="2600"/>
    <n v="18275"/>
    <n v="1"/>
    <s v="Y"/>
    <s v="Yes"/>
    <n v="15"/>
    <n v="3"/>
    <n v="1"/>
    <n v="80"/>
    <n v="0"/>
    <n v="1"/>
    <n v="2"/>
    <n v="3"/>
    <n v="1"/>
    <n v="0"/>
    <n v="0"/>
    <n v="0"/>
    <x v="0"/>
    <x v="3"/>
    <x v="1"/>
  </r>
  <r>
    <n v="30"/>
    <s v="Yes"/>
    <s v="Travel_Frequently"/>
    <n v="109"/>
    <x v="1"/>
    <n v="5"/>
    <n v="3"/>
    <s v="Medical"/>
    <n v="1"/>
    <n v="1017"/>
    <n v="2"/>
    <x v="0"/>
    <n v="60"/>
    <n v="3"/>
    <n v="1"/>
    <x v="2"/>
    <x v="1"/>
    <s v="Single"/>
    <n v="2422"/>
    <n v="25725"/>
    <n v="0"/>
    <s v="Y"/>
    <s v="No"/>
    <n v="17"/>
    <n v="3"/>
    <n v="1"/>
    <n v="80"/>
    <n v="0"/>
    <n v="4"/>
    <n v="3"/>
    <n v="3"/>
    <n v="3"/>
    <n v="2"/>
    <n v="1"/>
    <n v="2"/>
    <x v="0"/>
    <x v="2"/>
    <x v="2"/>
  </r>
  <r>
    <n v="26"/>
    <s v="No"/>
    <s v="Travel_Rarely"/>
    <n v="1066"/>
    <x v="1"/>
    <n v="2"/>
    <n v="2"/>
    <s v="Medical"/>
    <n v="1"/>
    <n v="1018"/>
    <n v="4"/>
    <x v="1"/>
    <n v="32"/>
    <n v="4"/>
    <n v="2"/>
    <x v="3"/>
    <x v="0"/>
    <s v="Married"/>
    <n v="5472"/>
    <n v="3334"/>
    <n v="1"/>
    <s v="Y"/>
    <s v="No"/>
    <n v="12"/>
    <n v="3"/>
    <n v="2"/>
    <n v="80"/>
    <n v="0"/>
    <n v="8"/>
    <n v="2"/>
    <n v="3"/>
    <n v="8"/>
    <n v="7"/>
    <n v="1"/>
    <n v="3"/>
    <x v="1"/>
    <x v="2"/>
    <x v="0"/>
  </r>
  <r>
    <n v="22"/>
    <s v="No"/>
    <s v="Travel_Rarely"/>
    <n v="217"/>
    <x v="1"/>
    <n v="8"/>
    <n v="1"/>
    <s v="Life Sciences"/>
    <n v="1"/>
    <n v="1019"/>
    <n v="2"/>
    <x v="1"/>
    <n v="94"/>
    <n v="1"/>
    <n v="1"/>
    <x v="2"/>
    <x v="3"/>
    <s v="Married"/>
    <n v="2451"/>
    <n v="6881"/>
    <n v="1"/>
    <s v="Y"/>
    <s v="No"/>
    <n v="15"/>
    <n v="3"/>
    <n v="1"/>
    <n v="80"/>
    <n v="1"/>
    <n v="4"/>
    <n v="3"/>
    <n v="2"/>
    <n v="4"/>
    <n v="3"/>
    <n v="1"/>
    <n v="1"/>
    <x v="1"/>
    <x v="3"/>
    <x v="2"/>
  </r>
  <r>
    <n v="48"/>
    <s v="No"/>
    <s v="Travel_Rarely"/>
    <n v="277"/>
    <x v="1"/>
    <n v="6"/>
    <n v="3"/>
    <s v="Life Sciences"/>
    <n v="1"/>
    <n v="1022"/>
    <n v="1"/>
    <x v="1"/>
    <n v="97"/>
    <n v="2"/>
    <n v="2"/>
    <x v="4"/>
    <x v="2"/>
    <s v="Single"/>
    <n v="4240"/>
    <n v="13119"/>
    <n v="2"/>
    <s v="Y"/>
    <s v="No"/>
    <n v="13"/>
    <n v="3"/>
    <n v="4"/>
    <n v="80"/>
    <n v="0"/>
    <n v="19"/>
    <n v="0"/>
    <n v="3"/>
    <n v="2"/>
    <n v="2"/>
    <n v="2"/>
    <n v="2"/>
    <x v="1"/>
    <x v="1"/>
    <x v="1"/>
  </r>
  <r>
    <n v="48"/>
    <s v="No"/>
    <s v="Travel_Rarely"/>
    <n v="1355"/>
    <x v="1"/>
    <n v="4"/>
    <n v="4"/>
    <s v="Life Sciences"/>
    <n v="1"/>
    <n v="1024"/>
    <n v="3"/>
    <x v="1"/>
    <n v="78"/>
    <n v="2"/>
    <n v="3"/>
    <x v="4"/>
    <x v="2"/>
    <s v="Single"/>
    <n v="10999"/>
    <n v="22245"/>
    <n v="7"/>
    <s v="Y"/>
    <s v="No"/>
    <n v="14"/>
    <n v="3"/>
    <n v="2"/>
    <n v="80"/>
    <n v="0"/>
    <n v="27"/>
    <n v="3"/>
    <n v="3"/>
    <n v="15"/>
    <n v="11"/>
    <n v="4"/>
    <n v="8"/>
    <x v="1"/>
    <x v="1"/>
    <x v="3"/>
  </r>
  <r>
    <n v="41"/>
    <s v="No"/>
    <s v="Travel_Rarely"/>
    <n v="549"/>
    <x v="1"/>
    <n v="7"/>
    <n v="2"/>
    <s v="Medical"/>
    <n v="1"/>
    <n v="1025"/>
    <n v="4"/>
    <x v="0"/>
    <n v="42"/>
    <n v="3"/>
    <n v="2"/>
    <x v="3"/>
    <x v="2"/>
    <s v="Single"/>
    <n v="5003"/>
    <n v="23371"/>
    <n v="6"/>
    <s v="Y"/>
    <s v="No"/>
    <n v="14"/>
    <n v="3"/>
    <n v="2"/>
    <n v="80"/>
    <n v="0"/>
    <n v="8"/>
    <n v="6"/>
    <n v="3"/>
    <n v="2"/>
    <n v="2"/>
    <n v="2"/>
    <n v="1"/>
    <x v="1"/>
    <x v="0"/>
    <x v="1"/>
  </r>
  <r>
    <n v="39"/>
    <s v="No"/>
    <s v="Travel_Rarely"/>
    <n v="466"/>
    <x v="1"/>
    <n v="1"/>
    <n v="1"/>
    <s v="Life Sciences"/>
    <n v="1"/>
    <n v="1026"/>
    <n v="4"/>
    <x v="0"/>
    <n v="65"/>
    <n v="2"/>
    <n v="4"/>
    <x v="3"/>
    <x v="0"/>
    <s v="Married"/>
    <n v="12742"/>
    <n v="7060"/>
    <n v="1"/>
    <s v="Y"/>
    <s v="No"/>
    <n v="16"/>
    <n v="3"/>
    <n v="3"/>
    <n v="80"/>
    <n v="1"/>
    <n v="21"/>
    <n v="3"/>
    <n v="3"/>
    <n v="21"/>
    <n v="6"/>
    <n v="11"/>
    <n v="8"/>
    <x v="1"/>
    <x v="0"/>
    <x v="3"/>
  </r>
  <r>
    <n v="27"/>
    <s v="No"/>
    <s v="Travel_Rarely"/>
    <n v="1055"/>
    <x v="1"/>
    <n v="2"/>
    <n v="4"/>
    <s v="Life Sciences"/>
    <n v="1"/>
    <n v="1027"/>
    <n v="1"/>
    <x v="0"/>
    <n v="47"/>
    <n v="3"/>
    <n v="2"/>
    <x v="3"/>
    <x v="0"/>
    <s v="Married"/>
    <n v="4227"/>
    <n v="4658"/>
    <n v="0"/>
    <s v="Y"/>
    <s v="No"/>
    <n v="18"/>
    <n v="3"/>
    <n v="2"/>
    <n v="80"/>
    <n v="1"/>
    <n v="4"/>
    <n v="2"/>
    <n v="3"/>
    <n v="3"/>
    <n v="2"/>
    <n v="2"/>
    <n v="2"/>
    <x v="1"/>
    <x v="2"/>
    <x v="2"/>
  </r>
  <r>
    <n v="35"/>
    <s v="No"/>
    <s v="Travel_Rarely"/>
    <n v="802"/>
    <x v="1"/>
    <n v="10"/>
    <n v="3"/>
    <s v="Other"/>
    <n v="1"/>
    <n v="1028"/>
    <n v="2"/>
    <x v="1"/>
    <n v="45"/>
    <n v="3"/>
    <n v="1"/>
    <x v="2"/>
    <x v="0"/>
    <s v="Divorced"/>
    <n v="3917"/>
    <n v="9541"/>
    <n v="1"/>
    <s v="Y"/>
    <s v="No"/>
    <n v="20"/>
    <n v="4"/>
    <n v="1"/>
    <n v="80"/>
    <n v="1"/>
    <n v="3"/>
    <n v="4"/>
    <n v="2"/>
    <n v="3"/>
    <n v="2"/>
    <n v="1"/>
    <n v="2"/>
    <x v="1"/>
    <x v="2"/>
    <x v="2"/>
  </r>
  <r>
    <n v="42"/>
    <s v="No"/>
    <s v="Travel_Rarely"/>
    <n v="265"/>
    <x v="0"/>
    <n v="5"/>
    <n v="2"/>
    <s v="Marketing"/>
    <n v="1"/>
    <n v="1029"/>
    <n v="4"/>
    <x v="1"/>
    <n v="90"/>
    <n v="3"/>
    <n v="5"/>
    <x v="5"/>
    <x v="2"/>
    <s v="Married"/>
    <n v="18303"/>
    <n v="7770"/>
    <n v="6"/>
    <s v="Y"/>
    <s v="No"/>
    <n v="13"/>
    <n v="3"/>
    <n v="2"/>
    <n v="80"/>
    <n v="0"/>
    <n v="21"/>
    <n v="3"/>
    <n v="4"/>
    <n v="1"/>
    <n v="0"/>
    <n v="0"/>
    <n v="0"/>
    <x v="1"/>
    <x v="0"/>
    <x v="1"/>
  </r>
  <r>
    <n v="50"/>
    <s v="No"/>
    <s v="Travel_Rarely"/>
    <n v="804"/>
    <x v="1"/>
    <n v="9"/>
    <n v="3"/>
    <s v="Life Sciences"/>
    <n v="1"/>
    <n v="1030"/>
    <n v="1"/>
    <x v="1"/>
    <n v="64"/>
    <n v="3"/>
    <n v="1"/>
    <x v="2"/>
    <x v="0"/>
    <s v="Married"/>
    <n v="2380"/>
    <n v="20165"/>
    <n v="4"/>
    <s v="Y"/>
    <s v="No"/>
    <n v="18"/>
    <n v="3"/>
    <n v="2"/>
    <n v="80"/>
    <n v="0"/>
    <n v="8"/>
    <n v="5"/>
    <n v="3"/>
    <n v="1"/>
    <n v="0"/>
    <n v="0"/>
    <n v="0"/>
    <x v="1"/>
    <x v="1"/>
    <x v="1"/>
  </r>
  <r>
    <n v="59"/>
    <s v="No"/>
    <s v="Travel_Rarely"/>
    <n v="715"/>
    <x v="1"/>
    <n v="2"/>
    <n v="3"/>
    <s v="Life Sciences"/>
    <n v="1"/>
    <n v="1032"/>
    <n v="3"/>
    <x v="0"/>
    <n v="69"/>
    <n v="2"/>
    <n v="4"/>
    <x v="3"/>
    <x v="0"/>
    <s v="Single"/>
    <n v="13726"/>
    <n v="21829"/>
    <n v="3"/>
    <s v="Y"/>
    <s v="Yes"/>
    <n v="13"/>
    <n v="3"/>
    <n v="1"/>
    <n v="80"/>
    <n v="0"/>
    <n v="30"/>
    <n v="4"/>
    <n v="3"/>
    <n v="5"/>
    <n v="3"/>
    <n v="4"/>
    <n v="3"/>
    <x v="1"/>
    <x v="1"/>
    <x v="2"/>
  </r>
  <r>
    <n v="37"/>
    <s v="Yes"/>
    <s v="Travel_Rarely"/>
    <n v="1141"/>
    <x v="1"/>
    <n v="11"/>
    <n v="2"/>
    <s v="Medical"/>
    <n v="1"/>
    <n v="1033"/>
    <n v="1"/>
    <x v="0"/>
    <n v="61"/>
    <n v="1"/>
    <n v="2"/>
    <x v="4"/>
    <x v="1"/>
    <s v="Married"/>
    <n v="4777"/>
    <n v="14382"/>
    <n v="5"/>
    <s v="Y"/>
    <s v="No"/>
    <n v="15"/>
    <n v="3"/>
    <n v="1"/>
    <n v="80"/>
    <n v="0"/>
    <n v="15"/>
    <n v="2"/>
    <n v="1"/>
    <n v="1"/>
    <n v="0"/>
    <n v="0"/>
    <n v="0"/>
    <x v="0"/>
    <x v="0"/>
    <x v="1"/>
  </r>
  <r>
    <n v="55"/>
    <s v="No"/>
    <s v="Travel_Frequently"/>
    <n v="135"/>
    <x v="1"/>
    <n v="18"/>
    <n v="4"/>
    <s v="Medical"/>
    <n v="1"/>
    <n v="1034"/>
    <n v="3"/>
    <x v="1"/>
    <n v="62"/>
    <n v="3"/>
    <n v="2"/>
    <x v="4"/>
    <x v="1"/>
    <s v="Married"/>
    <n v="6385"/>
    <n v="12992"/>
    <n v="3"/>
    <s v="Y"/>
    <s v="Yes"/>
    <n v="14"/>
    <n v="3"/>
    <n v="4"/>
    <n v="80"/>
    <n v="2"/>
    <n v="17"/>
    <n v="3"/>
    <n v="3"/>
    <n v="8"/>
    <n v="7"/>
    <n v="6"/>
    <n v="7"/>
    <x v="1"/>
    <x v="1"/>
    <x v="0"/>
  </r>
  <r>
    <n v="41"/>
    <s v="No"/>
    <s v="Non-Travel"/>
    <n v="247"/>
    <x v="1"/>
    <n v="7"/>
    <n v="1"/>
    <s v="Life Sciences"/>
    <n v="1"/>
    <n v="1035"/>
    <n v="2"/>
    <x v="0"/>
    <n v="55"/>
    <n v="1"/>
    <n v="5"/>
    <x v="7"/>
    <x v="2"/>
    <s v="Divorced"/>
    <n v="19973"/>
    <n v="20284"/>
    <n v="1"/>
    <s v="Y"/>
    <s v="No"/>
    <n v="22"/>
    <n v="4"/>
    <n v="2"/>
    <n v="80"/>
    <n v="2"/>
    <n v="21"/>
    <n v="3"/>
    <n v="3"/>
    <n v="21"/>
    <n v="16"/>
    <n v="5"/>
    <n v="10"/>
    <x v="1"/>
    <x v="0"/>
    <x v="3"/>
  </r>
  <r>
    <n v="38"/>
    <s v="No"/>
    <s v="Travel_Rarely"/>
    <n v="1035"/>
    <x v="0"/>
    <n v="3"/>
    <n v="4"/>
    <s v="Life Sciences"/>
    <n v="1"/>
    <n v="1036"/>
    <n v="2"/>
    <x v="1"/>
    <n v="42"/>
    <n v="3"/>
    <n v="2"/>
    <x v="0"/>
    <x v="0"/>
    <s v="Single"/>
    <n v="6861"/>
    <n v="4981"/>
    <n v="8"/>
    <s v="Y"/>
    <s v="Yes"/>
    <n v="12"/>
    <n v="3"/>
    <n v="3"/>
    <n v="80"/>
    <n v="0"/>
    <n v="19"/>
    <n v="1"/>
    <n v="3"/>
    <n v="1"/>
    <n v="0"/>
    <n v="0"/>
    <n v="0"/>
    <x v="1"/>
    <x v="0"/>
    <x v="1"/>
  </r>
  <r>
    <n v="26"/>
    <s v="Yes"/>
    <s v="Non-Travel"/>
    <n v="265"/>
    <x v="0"/>
    <n v="29"/>
    <n v="2"/>
    <s v="Medical"/>
    <n v="1"/>
    <n v="1037"/>
    <n v="2"/>
    <x v="1"/>
    <n v="79"/>
    <n v="1"/>
    <n v="2"/>
    <x v="0"/>
    <x v="3"/>
    <s v="Single"/>
    <n v="4969"/>
    <n v="21813"/>
    <n v="8"/>
    <s v="Y"/>
    <s v="No"/>
    <n v="18"/>
    <n v="3"/>
    <n v="4"/>
    <n v="80"/>
    <n v="0"/>
    <n v="7"/>
    <n v="6"/>
    <n v="3"/>
    <n v="2"/>
    <n v="2"/>
    <n v="2"/>
    <n v="2"/>
    <x v="0"/>
    <x v="2"/>
    <x v="1"/>
  </r>
  <r>
    <n v="52"/>
    <s v="Yes"/>
    <s v="Travel_Rarely"/>
    <n v="266"/>
    <x v="0"/>
    <n v="2"/>
    <n v="1"/>
    <s v="Marketing"/>
    <n v="1"/>
    <n v="1038"/>
    <n v="1"/>
    <x v="0"/>
    <n v="57"/>
    <n v="1"/>
    <n v="5"/>
    <x v="5"/>
    <x v="0"/>
    <s v="Married"/>
    <n v="19845"/>
    <n v="25846"/>
    <n v="1"/>
    <s v="Y"/>
    <s v="No"/>
    <n v="15"/>
    <n v="3"/>
    <n v="4"/>
    <n v="80"/>
    <n v="1"/>
    <n v="33"/>
    <n v="3"/>
    <n v="3"/>
    <n v="32"/>
    <n v="14"/>
    <n v="6"/>
    <n v="9"/>
    <x v="0"/>
    <x v="1"/>
    <x v="3"/>
  </r>
  <r>
    <n v="44"/>
    <s v="No"/>
    <s v="Travel_Rarely"/>
    <n v="1448"/>
    <x v="0"/>
    <n v="28"/>
    <n v="3"/>
    <s v="Medical"/>
    <n v="1"/>
    <n v="1039"/>
    <n v="4"/>
    <x v="0"/>
    <n v="53"/>
    <n v="4"/>
    <n v="4"/>
    <x v="0"/>
    <x v="0"/>
    <s v="Married"/>
    <n v="13320"/>
    <n v="11737"/>
    <n v="3"/>
    <s v="Y"/>
    <s v="Yes"/>
    <n v="18"/>
    <n v="3"/>
    <n v="3"/>
    <n v="80"/>
    <n v="1"/>
    <n v="23"/>
    <n v="2"/>
    <n v="3"/>
    <n v="12"/>
    <n v="11"/>
    <n v="11"/>
    <n v="11"/>
    <x v="1"/>
    <x v="0"/>
    <x v="3"/>
  </r>
  <r>
    <n v="50"/>
    <s v="No"/>
    <s v="Non-Travel"/>
    <n v="145"/>
    <x v="0"/>
    <n v="1"/>
    <n v="3"/>
    <s v="Life Sciences"/>
    <n v="1"/>
    <n v="1040"/>
    <n v="4"/>
    <x v="0"/>
    <n v="95"/>
    <n v="3"/>
    <n v="2"/>
    <x v="0"/>
    <x v="2"/>
    <s v="Married"/>
    <n v="6347"/>
    <n v="24920"/>
    <n v="0"/>
    <s v="Y"/>
    <s v="No"/>
    <n v="12"/>
    <n v="3"/>
    <n v="1"/>
    <n v="80"/>
    <n v="1"/>
    <n v="19"/>
    <n v="3"/>
    <n v="3"/>
    <n v="18"/>
    <n v="7"/>
    <n v="0"/>
    <n v="13"/>
    <x v="1"/>
    <x v="1"/>
    <x v="3"/>
  </r>
  <r>
    <n v="36"/>
    <s v="Yes"/>
    <s v="Travel_Rarely"/>
    <n v="885"/>
    <x v="1"/>
    <n v="16"/>
    <n v="4"/>
    <s v="Life Sciences"/>
    <n v="1"/>
    <n v="1042"/>
    <n v="3"/>
    <x v="0"/>
    <n v="43"/>
    <n v="4"/>
    <n v="1"/>
    <x v="2"/>
    <x v="3"/>
    <s v="Single"/>
    <n v="2743"/>
    <n v="8269"/>
    <n v="1"/>
    <s v="Y"/>
    <s v="No"/>
    <n v="16"/>
    <n v="3"/>
    <n v="3"/>
    <n v="80"/>
    <n v="0"/>
    <n v="18"/>
    <n v="1"/>
    <n v="3"/>
    <n v="17"/>
    <n v="13"/>
    <n v="15"/>
    <n v="14"/>
    <x v="0"/>
    <x v="0"/>
    <x v="3"/>
  </r>
  <r>
    <n v="39"/>
    <s v="No"/>
    <s v="Travel_Frequently"/>
    <n v="945"/>
    <x v="1"/>
    <n v="22"/>
    <n v="3"/>
    <s v="Medical"/>
    <n v="1"/>
    <n v="1043"/>
    <n v="4"/>
    <x v="0"/>
    <n v="82"/>
    <n v="3"/>
    <n v="3"/>
    <x v="3"/>
    <x v="3"/>
    <s v="Single"/>
    <n v="10880"/>
    <n v="5083"/>
    <n v="1"/>
    <s v="Y"/>
    <s v="Yes"/>
    <n v="13"/>
    <n v="3"/>
    <n v="3"/>
    <n v="80"/>
    <n v="0"/>
    <n v="21"/>
    <n v="2"/>
    <n v="3"/>
    <n v="21"/>
    <n v="6"/>
    <n v="2"/>
    <n v="8"/>
    <x v="1"/>
    <x v="0"/>
    <x v="3"/>
  </r>
  <r>
    <n v="33"/>
    <s v="No"/>
    <s v="Non-Travel"/>
    <n v="1038"/>
    <x v="0"/>
    <n v="8"/>
    <n v="1"/>
    <s v="Life Sciences"/>
    <n v="1"/>
    <n v="1044"/>
    <n v="2"/>
    <x v="0"/>
    <n v="88"/>
    <n v="2"/>
    <n v="1"/>
    <x v="6"/>
    <x v="0"/>
    <s v="Single"/>
    <n v="2342"/>
    <n v="21437"/>
    <n v="0"/>
    <s v="Y"/>
    <s v="No"/>
    <n v="19"/>
    <n v="3"/>
    <n v="4"/>
    <n v="80"/>
    <n v="0"/>
    <n v="3"/>
    <n v="2"/>
    <n v="2"/>
    <n v="2"/>
    <n v="2"/>
    <n v="2"/>
    <n v="2"/>
    <x v="1"/>
    <x v="2"/>
    <x v="1"/>
  </r>
  <r>
    <n v="45"/>
    <s v="No"/>
    <s v="Travel_Rarely"/>
    <n v="1234"/>
    <x v="0"/>
    <n v="11"/>
    <n v="2"/>
    <s v="Life Sciences"/>
    <n v="1"/>
    <n v="1045"/>
    <n v="4"/>
    <x v="0"/>
    <n v="90"/>
    <n v="3"/>
    <n v="4"/>
    <x v="5"/>
    <x v="0"/>
    <s v="Married"/>
    <n v="17650"/>
    <n v="5404"/>
    <n v="3"/>
    <s v="Y"/>
    <s v="No"/>
    <n v="13"/>
    <n v="3"/>
    <n v="2"/>
    <n v="80"/>
    <n v="1"/>
    <n v="26"/>
    <n v="4"/>
    <n v="4"/>
    <n v="9"/>
    <n v="3"/>
    <n v="1"/>
    <n v="1"/>
    <x v="1"/>
    <x v="0"/>
    <x v="0"/>
  </r>
  <r>
    <n v="32"/>
    <s v="No"/>
    <s v="Non-Travel"/>
    <n v="1109"/>
    <x v="1"/>
    <n v="29"/>
    <n v="4"/>
    <s v="Medical"/>
    <n v="1"/>
    <n v="1046"/>
    <n v="4"/>
    <x v="0"/>
    <n v="69"/>
    <n v="3"/>
    <n v="1"/>
    <x v="2"/>
    <x v="2"/>
    <s v="Single"/>
    <n v="4025"/>
    <n v="11135"/>
    <n v="9"/>
    <s v="Y"/>
    <s v="No"/>
    <n v="12"/>
    <n v="3"/>
    <n v="2"/>
    <n v="80"/>
    <n v="0"/>
    <n v="10"/>
    <n v="2"/>
    <n v="3"/>
    <n v="8"/>
    <n v="7"/>
    <n v="7"/>
    <n v="7"/>
    <x v="1"/>
    <x v="2"/>
    <x v="0"/>
  </r>
  <r>
    <n v="34"/>
    <s v="No"/>
    <s v="Travel_Rarely"/>
    <n v="216"/>
    <x v="0"/>
    <n v="1"/>
    <n v="4"/>
    <s v="Marketing"/>
    <n v="1"/>
    <n v="1047"/>
    <n v="2"/>
    <x v="1"/>
    <n v="75"/>
    <n v="4"/>
    <n v="2"/>
    <x v="0"/>
    <x v="0"/>
    <s v="Divorced"/>
    <n v="9725"/>
    <n v="12278"/>
    <n v="0"/>
    <s v="Y"/>
    <s v="No"/>
    <n v="11"/>
    <n v="3"/>
    <n v="4"/>
    <n v="80"/>
    <n v="1"/>
    <n v="16"/>
    <n v="2"/>
    <n v="2"/>
    <n v="15"/>
    <n v="1"/>
    <n v="0"/>
    <n v="9"/>
    <x v="1"/>
    <x v="2"/>
    <x v="3"/>
  </r>
  <r>
    <n v="59"/>
    <s v="No"/>
    <s v="Travel_Rarely"/>
    <n v="1089"/>
    <x v="0"/>
    <n v="1"/>
    <n v="2"/>
    <s v="Technical Degree"/>
    <n v="1"/>
    <n v="1048"/>
    <n v="2"/>
    <x v="1"/>
    <n v="66"/>
    <n v="3"/>
    <n v="3"/>
    <x v="5"/>
    <x v="0"/>
    <s v="Married"/>
    <n v="11904"/>
    <n v="11038"/>
    <n v="3"/>
    <s v="Y"/>
    <s v="Yes"/>
    <n v="14"/>
    <n v="3"/>
    <n v="3"/>
    <n v="80"/>
    <n v="1"/>
    <n v="14"/>
    <n v="1"/>
    <n v="1"/>
    <n v="6"/>
    <n v="4"/>
    <n v="0"/>
    <n v="4"/>
    <x v="1"/>
    <x v="1"/>
    <x v="0"/>
  </r>
  <r>
    <n v="45"/>
    <s v="No"/>
    <s v="Travel_Rarely"/>
    <n v="788"/>
    <x v="2"/>
    <n v="24"/>
    <n v="4"/>
    <s v="Medical"/>
    <n v="1"/>
    <n v="1049"/>
    <n v="2"/>
    <x v="1"/>
    <n v="36"/>
    <n v="3"/>
    <n v="1"/>
    <x v="8"/>
    <x v="1"/>
    <s v="Single"/>
    <n v="2177"/>
    <n v="8318"/>
    <n v="1"/>
    <s v="Y"/>
    <s v="No"/>
    <n v="16"/>
    <n v="3"/>
    <n v="1"/>
    <n v="80"/>
    <n v="0"/>
    <n v="6"/>
    <n v="3"/>
    <n v="3"/>
    <n v="6"/>
    <n v="3"/>
    <n v="0"/>
    <n v="4"/>
    <x v="1"/>
    <x v="0"/>
    <x v="0"/>
  </r>
  <r>
    <n v="53"/>
    <s v="No"/>
    <s v="Travel_Frequently"/>
    <n v="124"/>
    <x v="0"/>
    <n v="2"/>
    <n v="3"/>
    <s v="Marketing"/>
    <n v="1"/>
    <n v="1050"/>
    <n v="3"/>
    <x v="0"/>
    <n v="38"/>
    <n v="2"/>
    <n v="3"/>
    <x v="0"/>
    <x v="1"/>
    <s v="Married"/>
    <n v="7525"/>
    <n v="23537"/>
    <n v="2"/>
    <s v="Y"/>
    <s v="No"/>
    <n v="12"/>
    <n v="3"/>
    <n v="1"/>
    <n v="80"/>
    <n v="1"/>
    <n v="30"/>
    <n v="2"/>
    <n v="3"/>
    <n v="15"/>
    <n v="7"/>
    <n v="6"/>
    <n v="12"/>
    <x v="1"/>
    <x v="1"/>
    <x v="3"/>
  </r>
  <r>
    <n v="36"/>
    <s v="Yes"/>
    <s v="Travel_Rarely"/>
    <n v="660"/>
    <x v="1"/>
    <n v="15"/>
    <n v="3"/>
    <s v="Other"/>
    <n v="1"/>
    <n v="1052"/>
    <n v="1"/>
    <x v="1"/>
    <n v="81"/>
    <n v="3"/>
    <n v="2"/>
    <x v="2"/>
    <x v="2"/>
    <s v="Divorced"/>
    <n v="4834"/>
    <n v="7858"/>
    <n v="7"/>
    <s v="Y"/>
    <s v="No"/>
    <n v="14"/>
    <n v="3"/>
    <n v="2"/>
    <n v="80"/>
    <n v="1"/>
    <n v="9"/>
    <n v="3"/>
    <n v="2"/>
    <n v="1"/>
    <n v="0"/>
    <n v="0"/>
    <n v="0"/>
    <x v="0"/>
    <x v="0"/>
    <x v="1"/>
  </r>
  <r>
    <n v="26"/>
    <s v="Yes"/>
    <s v="Travel_Frequently"/>
    <n v="342"/>
    <x v="1"/>
    <n v="2"/>
    <n v="3"/>
    <s v="Life Sciences"/>
    <n v="1"/>
    <n v="1053"/>
    <n v="1"/>
    <x v="1"/>
    <n v="57"/>
    <n v="3"/>
    <n v="1"/>
    <x v="1"/>
    <x v="3"/>
    <s v="Married"/>
    <n v="2042"/>
    <n v="15346"/>
    <n v="6"/>
    <s v="Y"/>
    <s v="Yes"/>
    <n v="14"/>
    <n v="3"/>
    <n v="2"/>
    <n v="80"/>
    <n v="1"/>
    <n v="6"/>
    <n v="2"/>
    <n v="3"/>
    <n v="3"/>
    <n v="2"/>
    <n v="1"/>
    <n v="2"/>
    <x v="0"/>
    <x v="2"/>
    <x v="2"/>
  </r>
  <r>
    <n v="34"/>
    <s v="No"/>
    <s v="Travel_Rarely"/>
    <n v="1333"/>
    <x v="0"/>
    <n v="10"/>
    <n v="4"/>
    <s v="Life Sciences"/>
    <n v="1"/>
    <n v="1055"/>
    <n v="3"/>
    <x v="0"/>
    <n v="87"/>
    <n v="3"/>
    <n v="1"/>
    <x v="6"/>
    <x v="2"/>
    <s v="Married"/>
    <n v="2220"/>
    <n v="18410"/>
    <n v="1"/>
    <s v="Y"/>
    <s v="Yes"/>
    <n v="19"/>
    <n v="3"/>
    <n v="4"/>
    <n v="80"/>
    <n v="1"/>
    <n v="1"/>
    <n v="2"/>
    <n v="3"/>
    <n v="1"/>
    <n v="1"/>
    <n v="0"/>
    <n v="0"/>
    <x v="1"/>
    <x v="2"/>
    <x v="1"/>
  </r>
  <r>
    <n v="28"/>
    <s v="No"/>
    <s v="Travel_Rarely"/>
    <n v="1144"/>
    <x v="0"/>
    <n v="10"/>
    <n v="1"/>
    <s v="Medical"/>
    <n v="1"/>
    <n v="1056"/>
    <n v="4"/>
    <x v="1"/>
    <n v="74"/>
    <n v="3"/>
    <n v="1"/>
    <x v="6"/>
    <x v="1"/>
    <s v="Married"/>
    <n v="1052"/>
    <n v="23384"/>
    <n v="1"/>
    <s v="Y"/>
    <s v="No"/>
    <n v="22"/>
    <n v="4"/>
    <n v="2"/>
    <n v="80"/>
    <n v="0"/>
    <n v="1"/>
    <n v="5"/>
    <n v="3"/>
    <n v="1"/>
    <n v="0"/>
    <n v="0"/>
    <n v="0"/>
    <x v="1"/>
    <x v="2"/>
    <x v="1"/>
  </r>
  <r>
    <n v="38"/>
    <s v="No"/>
    <s v="Travel_Frequently"/>
    <n v="1186"/>
    <x v="1"/>
    <n v="3"/>
    <n v="4"/>
    <s v="Other"/>
    <n v="1"/>
    <n v="1060"/>
    <n v="3"/>
    <x v="1"/>
    <n v="44"/>
    <n v="3"/>
    <n v="1"/>
    <x v="1"/>
    <x v="2"/>
    <s v="Married"/>
    <n v="2821"/>
    <n v="2997"/>
    <n v="3"/>
    <s v="Y"/>
    <s v="No"/>
    <n v="16"/>
    <n v="3"/>
    <n v="1"/>
    <n v="80"/>
    <n v="1"/>
    <n v="8"/>
    <n v="2"/>
    <n v="3"/>
    <n v="2"/>
    <n v="2"/>
    <n v="2"/>
    <n v="2"/>
    <x v="1"/>
    <x v="0"/>
    <x v="1"/>
  </r>
  <r>
    <n v="50"/>
    <s v="No"/>
    <s v="Travel_Rarely"/>
    <n v="1464"/>
    <x v="1"/>
    <n v="2"/>
    <n v="4"/>
    <s v="Medical"/>
    <n v="1"/>
    <n v="1061"/>
    <n v="2"/>
    <x v="1"/>
    <n v="62"/>
    <n v="3"/>
    <n v="5"/>
    <x v="7"/>
    <x v="2"/>
    <s v="Married"/>
    <n v="19237"/>
    <n v="12853"/>
    <n v="2"/>
    <s v="Y"/>
    <s v="Yes"/>
    <n v="11"/>
    <n v="3"/>
    <n v="4"/>
    <n v="80"/>
    <n v="1"/>
    <n v="29"/>
    <n v="2"/>
    <n v="2"/>
    <n v="8"/>
    <n v="1"/>
    <n v="7"/>
    <n v="7"/>
    <x v="1"/>
    <x v="1"/>
    <x v="0"/>
  </r>
  <r>
    <n v="37"/>
    <s v="No"/>
    <s v="Travel_Rarely"/>
    <n v="124"/>
    <x v="1"/>
    <n v="3"/>
    <n v="3"/>
    <s v="Other"/>
    <n v="1"/>
    <n v="1062"/>
    <n v="4"/>
    <x v="0"/>
    <n v="35"/>
    <n v="3"/>
    <n v="2"/>
    <x v="4"/>
    <x v="1"/>
    <s v="Single"/>
    <n v="4107"/>
    <n v="13848"/>
    <n v="3"/>
    <s v="Y"/>
    <s v="No"/>
    <n v="15"/>
    <n v="3"/>
    <n v="1"/>
    <n v="80"/>
    <n v="0"/>
    <n v="8"/>
    <n v="3"/>
    <n v="2"/>
    <n v="4"/>
    <n v="3"/>
    <n v="0"/>
    <n v="1"/>
    <x v="1"/>
    <x v="0"/>
    <x v="2"/>
  </r>
  <r>
    <n v="40"/>
    <s v="No"/>
    <s v="Travel_Rarely"/>
    <n v="300"/>
    <x v="0"/>
    <n v="26"/>
    <n v="3"/>
    <s v="Marketing"/>
    <n v="1"/>
    <n v="1066"/>
    <n v="3"/>
    <x v="1"/>
    <n v="74"/>
    <n v="3"/>
    <n v="2"/>
    <x v="0"/>
    <x v="3"/>
    <s v="Married"/>
    <n v="8396"/>
    <n v="22217"/>
    <n v="1"/>
    <s v="Y"/>
    <s v="No"/>
    <n v="14"/>
    <n v="3"/>
    <n v="2"/>
    <n v="80"/>
    <n v="1"/>
    <n v="8"/>
    <n v="3"/>
    <n v="2"/>
    <n v="7"/>
    <n v="7"/>
    <n v="7"/>
    <n v="5"/>
    <x v="1"/>
    <x v="0"/>
    <x v="0"/>
  </r>
  <r>
    <n v="26"/>
    <s v="No"/>
    <s v="Travel_Frequently"/>
    <n v="921"/>
    <x v="1"/>
    <n v="1"/>
    <n v="1"/>
    <s v="Medical"/>
    <n v="1"/>
    <n v="1068"/>
    <n v="1"/>
    <x v="0"/>
    <n v="66"/>
    <n v="2"/>
    <n v="1"/>
    <x v="1"/>
    <x v="2"/>
    <s v="Divorced"/>
    <n v="2007"/>
    <n v="25265"/>
    <n v="1"/>
    <s v="Y"/>
    <s v="No"/>
    <n v="13"/>
    <n v="3"/>
    <n v="3"/>
    <n v="80"/>
    <n v="2"/>
    <n v="5"/>
    <n v="5"/>
    <n v="3"/>
    <n v="5"/>
    <n v="3"/>
    <n v="1"/>
    <n v="3"/>
    <x v="1"/>
    <x v="2"/>
    <x v="2"/>
  </r>
  <r>
    <n v="46"/>
    <s v="No"/>
    <s v="Travel_Rarely"/>
    <n v="430"/>
    <x v="1"/>
    <n v="1"/>
    <n v="4"/>
    <s v="Medical"/>
    <n v="1"/>
    <n v="1069"/>
    <n v="4"/>
    <x v="1"/>
    <n v="40"/>
    <n v="3"/>
    <n v="5"/>
    <x v="7"/>
    <x v="0"/>
    <s v="Divorced"/>
    <n v="19627"/>
    <n v="21445"/>
    <n v="9"/>
    <s v="Y"/>
    <s v="No"/>
    <n v="17"/>
    <n v="3"/>
    <n v="4"/>
    <n v="80"/>
    <n v="2"/>
    <n v="23"/>
    <n v="0"/>
    <n v="3"/>
    <n v="2"/>
    <n v="2"/>
    <n v="2"/>
    <n v="2"/>
    <x v="1"/>
    <x v="1"/>
    <x v="1"/>
  </r>
  <r>
    <n v="54"/>
    <s v="No"/>
    <s v="Travel_Rarely"/>
    <n v="1082"/>
    <x v="0"/>
    <n v="2"/>
    <n v="4"/>
    <s v="Life Sciences"/>
    <n v="1"/>
    <n v="1070"/>
    <n v="3"/>
    <x v="0"/>
    <n v="41"/>
    <n v="2"/>
    <n v="3"/>
    <x v="0"/>
    <x v="2"/>
    <s v="Married"/>
    <n v="10686"/>
    <n v="8392"/>
    <n v="6"/>
    <s v="Y"/>
    <s v="No"/>
    <n v="11"/>
    <n v="3"/>
    <n v="2"/>
    <n v="80"/>
    <n v="1"/>
    <n v="13"/>
    <n v="4"/>
    <n v="3"/>
    <n v="9"/>
    <n v="4"/>
    <n v="7"/>
    <n v="0"/>
    <x v="1"/>
    <x v="1"/>
    <x v="0"/>
  </r>
  <r>
    <n v="56"/>
    <s v="No"/>
    <s v="Travel_Frequently"/>
    <n v="1240"/>
    <x v="1"/>
    <n v="9"/>
    <n v="3"/>
    <s v="Medical"/>
    <n v="1"/>
    <n v="1071"/>
    <n v="1"/>
    <x v="0"/>
    <n v="63"/>
    <n v="3"/>
    <n v="1"/>
    <x v="1"/>
    <x v="2"/>
    <s v="Married"/>
    <n v="2942"/>
    <n v="12154"/>
    <n v="2"/>
    <s v="Y"/>
    <s v="No"/>
    <n v="19"/>
    <n v="3"/>
    <n v="2"/>
    <n v="80"/>
    <n v="1"/>
    <n v="18"/>
    <n v="4"/>
    <n v="3"/>
    <n v="5"/>
    <n v="4"/>
    <n v="0"/>
    <n v="3"/>
    <x v="1"/>
    <x v="1"/>
    <x v="2"/>
  </r>
  <r>
    <n v="36"/>
    <s v="No"/>
    <s v="Travel_Rarely"/>
    <n v="796"/>
    <x v="1"/>
    <n v="12"/>
    <n v="5"/>
    <s v="Medical"/>
    <n v="1"/>
    <n v="1073"/>
    <n v="4"/>
    <x v="0"/>
    <n v="51"/>
    <n v="2"/>
    <n v="3"/>
    <x v="3"/>
    <x v="0"/>
    <s v="Single"/>
    <n v="8858"/>
    <n v="15669"/>
    <n v="0"/>
    <s v="Y"/>
    <s v="No"/>
    <n v="11"/>
    <n v="3"/>
    <n v="2"/>
    <n v="80"/>
    <n v="0"/>
    <n v="15"/>
    <n v="2"/>
    <n v="2"/>
    <n v="14"/>
    <n v="8"/>
    <n v="7"/>
    <n v="8"/>
    <x v="1"/>
    <x v="0"/>
    <x v="3"/>
  </r>
  <r>
    <n v="55"/>
    <s v="No"/>
    <s v="Non-Travel"/>
    <n v="444"/>
    <x v="1"/>
    <n v="2"/>
    <n v="1"/>
    <s v="Medical"/>
    <n v="1"/>
    <n v="1074"/>
    <n v="3"/>
    <x v="1"/>
    <n v="40"/>
    <n v="2"/>
    <n v="4"/>
    <x v="5"/>
    <x v="3"/>
    <s v="Single"/>
    <n v="16756"/>
    <n v="17323"/>
    <n v="7"/>
    <s v="Y"/>
    <s v="No"/>
    <n v="15"/>
    <n v="3"/>
    <n v="2"/>
    <n v="80"/>
    <n v="0"/>
    <n v="31"/>
    <n v="3"/>
    <n v="4"/>
    <n v="9"/>
    <n v="7"/>
    <n v="6"/>
    <n v="2"/>
    <x v="1"/>
    <x v="1"/>
    <x v="0"/>
  </r>
  <r>
    <n v="43"/>
    <s v="No"/>
    <s v="Travel_Rarely"/>
    <n v="415"/>
    <x v="0"/>
    <n v="25"/>
    <n v="3"/>
    <s v="Medical"/>
    <n v="1"/>
    <n v="1076"/>
    <n v="3"/>
    <x v="1"/>
    <n v="79"/>
    <n v="2"/>
    <n v="3"/>
    <x v="0"/>
    <x v="0"/>
    <s v="Divorced"/>
    <n v="10798"/>
    <n v="5268"/>
    <n v="5"/>
    <s v="Y"/>
    <s v="No"/>
    <n v="13"/>
    <n v="3"/>
    <n v="3"/>
    <n v="80"/>
    <n v="1"/>
    <n v="18"/>
    <n v="5"/>
    <n v="3"/>
    <n v="1"/>
    <n v="0"/>
    <n v="0"/>
    <n v="0"/>
    <x v="1"/>
    <x v="0"/>
    <x v="1"/>
  </r>
  <r>
    <n v="20"/>
    <s v="Yes"/>
    <s v="Travel_Frequently"/>
    <n v="769"/>
    <x v="0"/>
    <n v="9"/>
    <n v="3"/>
    <s v="Marketing"/>
    <n v="1"/>
    <n v="1077"/>
    <n v="4"/>
    <x v="0"/>
    <n v="54"/>
    <n v="3"/>
    <n v="1"/>
    <x v="6"/>
    <x v="0"/>
    <s v="Single"/>
    <n v="2323"/>
    <n v="17205"/>
    <n v="1"/>
    <s v="Y"/>
    <s v="Yes"/>
    <n v="14"/>
    <n v="3"/>
    <n v="2"/>
    <n v="80"/>
    <n v="0"/>
    <n v="2"/>
    <n v="3"/>
    <n v="3"/>
    <n v="2"/>
    <n v="2"/>
    <n v="0"/>
    <n v="2"/>
    <x v="0"/>
    <x v="3"/>
    <x v="1"/>
  </r>
  <r>
    <n v="21"/>
    <s v="Yes"/>
    <s v="Travel_Rarely"/>
    <n v="1334"/>
    <x v="1"/>
    <n v="10"/>
    <n v="3"/>
    <s v="Life Sciences"/>
    <n v="1"/>
    <n v="1079"/>
    <n v="3"/>
    <x v="0"/>
    <n v="36"/>
    <n v="2"/>
    <n v="1"/>
    <x v="2"/>
    <x v="3"/>
    <s v="Single"/>
    <n v="1416"/>
    <n v="17258"/>
    <n v="1"/>
    <s v="Y"/>
    <s v="No"/>
    <n v="13"/>
    <n v="3"/>
    <n v="1"/>
    <n v="80"/>
    <n v="0"/>
    <n v="1"/>
    <n v="6"/>
    <n v="2"/>
    <n v="1"/>
    <n v="0"/>
    <n v="1"/>
    <n v="0"/>
    <x v="0"/>
    <x v="3"/>
    <x v="1"/>
  </r>
  <r>
    <n v="46"/>
    <s v="No"/>
    <s v="Travel_Rarely"/>
    <n v="1003"/>
    <x v="1"/>
    <n v="8"/>
    <n v="4"/>
    <s v="Life Sciences"/>
    <n v="1"/>
    <n v="1080"/>
    <n v="4"/>
    <x v="0"/>
    <n v="74"/>
    <n v="2"/>
    <n v="2"/>
    <x v="1"/>
    <x v="3"/>
    <s v="Divorced"/>
    <n v="4615"/>
    <n v="21029"/>
    <n v="8"/>
    <s v="Y"/>
    <s v="Yes"/>
    <n v="23"/>
    <n v="4"/>
    <n v="1"/>
    <n v="80"/>
    <n v="3"/>
    <n v="19"/>
    <n v="2"/>
    <n v="3"/>
    <n v="16"/>
    <n v="13"/>
    <n v="1"/>
    <n v="7"/>
    <x v="1"/>
    <x v="1"/>
    <x v="3"/>
  </r>
  <r>
    <n v="51"/>
    <s v="Yes"/>
    <s v="Travel_Rarely"/>
    <n v="1323"/>
    <x v="1"/>
    <n v="4"/>
    <n v="4"/>
    <s v="Life Sciences"/>
    <n v="1"/>
    <n v="1081"/>
    <n v="1"/>
    <x v="1"/>
    <n v="34"/>
    <n v="3"/>
    <n v="1"/>
    <x v="1"/>
    <x v="2"/>
    <s v="Married"/>
    <n v="2461"/>
    <n v="10332"/>
    <n v="9"/>
    <s v="Y"/>
    <s v="Yes"/>
    <n v="12"/>
    <n v="3"/>
    <n v="3"/>
    <n v="80"/>
    <n v="3"/>
    <n v="18"/>
    <n v="2"/>
    <n v="4"/>
    <n v="10"/>
    <n v="0"/>
    <n v="2"/>
    <n v="7"/>
    <x v="0"/>
    <x v="1"/>
    <x v="0"/>
  </r>
  <r>
    <n v="28"/>
    <s v="Yes"/>
    <s v="Non-Travel"/>
    <n v="1366"/>
    <x v="1"/>
    <n v="24"/>
    <n v="2"/>
    <s v="Technical Degree"/>
    <n v="1"/>
    <n v="1082"/>
    <n v="2"/>
    <x v="1"/>
    <n v="72"/>
    <n v="2"/>
    <n v="3"/>
    <x v="4"/>
    <x v="3"/>
    <s v="Single"/>
    <n v="8722"/>
    <n v="12355"/>
    <n v="1"/>
    <s v="Y"/>
    <s v="No"/>
    <n v="12"/>
    <n v="3"/>
    <n v="1"/>
    <n v="80"/>
    <n v="0"/>
    <n v="10"/>
    <n v="2"/>
    <n v="2"/>
    <n v="10"/>
    <n v="7"/>
    <n v="1"/>
    <n v="9"/>
    <x v="0"/>
    <x v="2"/>
    <x v="0"/>
  </r>
  <r>
    <n v="26"/>
    <s v="No"/>
    <s v="Travel_Rarely"/>
    <n v="192"/>
    <x v="1"/>
    <n v="1"/>
    <n v="2"/>
    <s v="Medical"/>
    <n v="1"/>
    <n v="1083"/>
    <n v="1"/>
    <x v="1"/>
    <n v="59"/>
    <n v="2"/>
    <n v="1"/>
    <x v="2"/>
    <x v="3"/>
    <s v="Married"/>
    <n v="3955"/>
    <n v="11141"/>
    <n v="1"/>
    <s v="Y"/>
    <s v="No"/>
    <n v="16"/>
    <n v="3"/>
    <n v="1"/>
    <n v="80"/>
    <n v="2"/>
    <n v="6"/>
    <n v="2"/>
    <n v="3"/>
    <n v="5"/>
    <n v="3"/>
    <n v="1"/>
    <n v="3"/>
    <x v="1"/>
    <x v="2"/>
    <x v="2"/>
  </r>
  <r>
    <n v="30"/>
    <s v="No"/>
    <s v="Travel_Rarely"/>
    <n v="1176"/>
    <x v="1"/>
    <n v="20"/>
    <n v="3"/>
    <s v="Other"/>
    <n v="1"/>
    <n v="1084"/>
    <n v="3"/>
    <x v="1"/>
    <n v="85"/>
    <n v="3"/>
    <n v="2"/>
    <x v="3"/>
    <x v="3"/>
    <s v="Married"/>
    <n v="9957"/>
    <n v="9096"/>
    <n v="0"/>
    <s v="Y"/>
    <s v="No"/>
    <n v="15"/>
    <n v="3"/>
    <n v="3"/>
    <n v="80"/>
    <n v="1"/>
    <n v="7"/>
    <n v="1"/>
    <n v="2"/>
    <n v="6"/>
    <n v="2"/>
    <n v="0"/>
    <n v="2"/>
    <x v="1"/>
    <x v="2"/>
    <x v="0"/>
  </r>
  <r>
    <n v="41"/>
    <s v="No"/>
    <s v="Travel_Rarely"/>
    <n v="509"/>
    <x v="1"/>
    <n v="7"/>
    <n v="2"/>
    <s v="Technical Degree"/>
    <n v="1"/>
    <n v="1085"/>
    <n v="2"/>
    <x v="0"/>
    <n v="43"/>
    <n v="4"/>
    <n v="1"/>
    <x v="1"/>
    <x v="2"/>
    <s v="Married"/>
    <n v="3376"/>
    <n v="18863"/>
    <n v="1"/>
    <s v="Y"/>
    <s v="No"/>
    <n v="13"/>
    <n v="3"/>
    <n v="3"/>
    <n v="80"/>
    <n v="0"/>
    <n v="10"/>
    <n v="3"/>
    <n v="3"/>
    <n v="10"/>
    <n v="6"/>
    <n v="0"/>
    <n v="8"/>
    <x v="1"/>
    <x v="0"/>
    <x v="0"/>
  </r>
  <r>
    <n v="38"/>
    <s v="No"/>
    <s v="Travel_Rarely"/>
    <n v="330"/>
    <x v="1"/>
    <n v="17"/>
    <n v="1"/>
    <s v="Life Sciences"/>
    <n v="1"/>
    <n v="1088"/>
    <n v="3"/>
    <x v="0"/>
    <n v="65"/>
    <n v="2"/>
    <n v="3"/>
    <x v="4"/>
    <x v="2"/>
    <s v="Married"/>
    <n v="8823"/>
    <n v="24608"/>
    <n v="0"/>
    <s v="Y"/>
    <s v="No"/>
    <n v="18"/>
    <n v="3"/>
    <n v="1"/>
    <n v="80"/>
    <n v="1"/>
    <n v="20"/>
    <n v="4"/>
    <n v="2"/>
    <n v="19"/>
    <n v="9"/>
    <n v="1"/>
    <n v="9"/>
    <x v="1"/>
    <x v="0"/>
    <x v="3"/>
  </r>
  <r>
    <n v="40"/>
    <s v="No"/>
    <s v="Travel_Rarely"/>
    <n v="1492"/>
    <x v="1"/>
    <n v="20"/>
    <n v="4"/>
    <s v="Technical Degree"/>
    <n v="1"/>
    <n v="1092"/>
    <n v="1"/>
    <x v="1"/>
    <n v="61"/>
    <n v="3"/>
    <n v="3"/>
    <x v="4"/>
    <x v="0"/>
    <s v="Married"/>
    <n v="10322"/>
    <n v="26542"/>
    <n v="4"/>
    <s v="Y"/>
    <s v="No"/>
    <n v="20"/>
    <n v="4"/>
    <n v="4"/>
    <n v="80"/>
    <n v="1"/>
    <n v="14"/>
    <n v="6"/>
    <n v="3"/>
    <n v="11"/>
    <n v="10"/>
    <n v="11"/>
    <n v="1"/>
    <x v="1"/>
    <x v="0"/>
    <x v="3"/>
  </r>
  <r>
    <n v="27"/>
    <s v="No"/>
    <s v="Non-Travel"/>
    <n v="1277"/>
    <x v="1"/>
    <n v="8"/>
    <n v="5"/>
    <s v="Life Sciences"/>
    <n v="1"/>
    <n v="1094"/>
    <n v="1"/>
    <x v="1"/>
    <n v="87"/>
    <n v="1"/>
    <n v="1"/>
    <x v="2"/>
    <x v="2"/>
    <s v="Married"/>
    <n v="4621"/>
    <n v="5869"/>
    <n v="1"/>
    <s v="Y"/>
    <s v="No"/>
    <n v="19"/>
    <n v="3"/>
    <n v="4"/>
    <n v="80"/>
    <n v="3"/>
    <n v="3"/>
    <n v="4"/>
    <n v="3"/>
    <n v="3"/>
    <n v="2"/>
    <n v="1"/>
    <n v="2"/>
    <x v="1"/>
    <x v="2"/>
    <x v="2"/>
  </r>
  <r>
    <n v="55"/>
    <s v="No"/>
    <s v="Travel_Frequently"/>
    <n v="1091"/>
    <x v="1"/>
    <n v="2"/>
    <n v="1"/>
    <s v="Life Sciences"/>
    <n v="1"/>
    <n v="1096"/>
    <n v="4"/>
    <x v="1"/>
    <n v="65"/>
    <n v="3"/>
    <n v="3"/>
    <x v="3"/>
    <x v="1"/>
    <s v="Married"/>
    <n v="10976"/>
    <n v="15813"/>
    <n v="3"/>
    <s v="Y"/>
    <s v="No"/>
    <n v="18"/>
    <n v="3"/>
    <n v="2"/>
    <n v="80"/>
    <n v="1"/>
    <n v="23"/>
    <n v="4"/>
    <n v="3"/>
    <n v="3"/>
    <n v="2"/>
    <n v="1"/>
    <n v="2"/>
    <x v="1"/>
    <x v="1"/>
    <x v="2"/>
  </r>
  <r>
    <n v="28"/>
    <s v="No"/>
    <s v="Travel_Rarely"/>
    <n v="857"/>
    <x v="1"/>
    <n v="10"/>
    <n v="3"/>
    <s v="Other"/>
    <n v="1"/>
    <n v="1097"/>
    <n v="3"/>
    <x v="0"/>
    <n v="59"/>
    <n v="3"/>
    <n v="2"/>
    <x v="1"/>
    <x v="2"/>
    <s v="Single"/>
    <n v="3660"/>
    <n v="7909"/>
    <n v="3"/>
    <s v="Y"/>
    <s v="No"/>
    <n v="13"/>
    <n v="3"/>
    <n v="4"/>
    <n v="80"/>
    <n v="0"/>
    <n v="10"/>
    <n v="4"/>
    <n v="4"/>
    <n v="8"/>
    <n v="7"/>
    <n v="1"/>
    <n v="7"/>
    <x v="1"/>
    <x v="2"/>
    <x v="0"/>
  </r>
  <r>
    <n v="44"/>
    <s v="Yes"/>
    <s v="Travel_Rarely"/>
    <n v="1376"/>
    <x v="2"/>
    <n v="1"/>
    <n v="2"/>
    <s v="Medical"/>
    <n v="1"/>
    <n v="1098"/>
    <n v="2"/>
    <x v="1"/>
    <n v="91"/>
    <n v="2"/>
    <n v="3"/>
    <x v="8"/>
    <x v="3"/>
    <s v="Married"/>
    <n v="10482"/>
    <n v="2326"/>
    <n v="9"/>
    <s v="Y"/>
    <s v="No"/>
    <n v="14"/>
    <n v="3"/>
    <n v="4"/>
    <n v="80"/>
    <n v="1"/>
    <n v="24"/>
    <n v="1"/>
    <n v="3"/>
    <n v="20"/>
    <n v="6"/>
    <n v="3"/>
    <n v="6"/>
    <x v="0"/>
    <x v="0"/>
    <x v="3"/>
  </r>
  <r>
    <n v="33"/>
    <s v="No"/>
    <s v="Travel_Rarely"/>
    <n v="654"/>
    <x v="1"/>
    <n v="5"/>
    <n v="3"/>
    <s v="Life Sciences"/>
    <n v="1"/>
    <n v="1099"/>
    <n v="4"/>
    <x v="1"/>
    <n v="34"/>
    <n v="2"/>
    <n v="3"/>
    <x v="4"/>
    <x v="0"/>
    <s v="Divorced"/>
    <n v="7119"/>
    <n v="21214"/>
    <n v="4"/>
    <s v="Y"/>
    <s v="No"/>
    <n v="15"/>
    <n v="3"/>
    <n v="3"/>
    <n v="80"/>
    <n v="1"/>
    <n v="9"/>
    <n v="2"/>
    <n v="3"/>
    <n v="3"/>
    <n v="2"/>
    <n v="1"/>
    <n v="2"/>
    <x v="1"/>
    <x v="2"/>
    <x v="2"/>
  </r>
  <r>
    <n v="35"/>
    <s v="Yes"/>
    <s v="Travel_Rarely"/>
    <n v="1204"/>
    <x v="0"/>
    <n v="4"/>
    <n v="3"/>
    <s v="Technical Degree"/>
    <n v="1"/>
    <n v="1100"/>
    <n v="4"/>
    <x v="1"/>
    <n v="86"/>
    <n v="3"/>
    <n v="3"/>
    <x v="0"/>
    <x v="3"/>
    <s v="Single"/>
    <n v="9582"/>
    <n v="10333"/>
    <n v="0"/>
    <s v="Y"/>
    <s v="Yes"/>
    <n v="22"/>
    <n v="4"/>
    <n v="1"/>
    <n v="80"/>
    <n v="0"/>
    <n v="9"/>
    <n v="2"/>
    <n v="3"/>
    <n v="8"/>
    <n v="7"/>
    <n v="4"/>
    <n v="7"/>
    <x v="0"/>
    <x v="2"/>
    <x v="0"/>
  </r>
  <r>
    <n v="33"/>
    <s v="Yes"/>
    <s v="Travel_Frequently"/>
    <n v="827"/>
    <x v="1"/>
    <n v="29"/>
    <n v="4"/>
    <s v="Medical"/>
    <n v="1"/>
    <n v="1101"/>
    <n v="1"/>
    <x v="0"/>
    <n v="54"/>
    <n v="2"/>
    <n v="2"/>
    <x v="1"/>
    <x v="2"/>
    <s v="Single"/>
    <n v="4508"/>
    <n v="3129"/>
    <n v="1"/>
    <s v="Y"/>
    <s v="No"/>
    <n v="22"/>
    <n v="4"/>
    <n v="2"/>
    <n v="80"/>
    <n v="0"/>
    <n v="14"/>
    <n v="4"/>
    <n v="3"/>
    <n v="13"/>
    <n v="7"/>
    <n v="3"/>
    <n v="8"/>
    <x v="0"/>
    <x v="2"/>
    <x v="3"/>
  </r>
  <r>
    <n v="28"/>
    <s v="No"/>
    <s v="Travel_Rarely"/>
    <n v="895"/>
    <x v="1"/>
    <n v="15"/>
    <n v="2"/>
    <s v="Life Sciences"/>
    <n v="1"/>
    <n v="1102"/>
    <n v="1"/>
    <x v="1"/>
    <n v="50"/>
    <n v="3"/>
    <n v="1"/>
    <x v="2"/>
    <x v="2"/>
    <s v="Divorced"/>
    <n v="2207"/>
    <n v="22482"/>
    <n v="1"/>
    <s v="Y"/>
    <s v="No"/>
    <n v="16"/>
    <n v="3"/>
    <n v="4"/>
    <n v="80"/>
    <n v="1"/>
    <n v="4"/>
    <n v="5"/>
    <n v="2"/>
    <n v="4"/>
    <n v="2"/>
    <n v="2"/>
    <n v="2"/>
    <x v="1"/>
    <x v="2"/>
    <x v="2"/>
  </r>
  <r>
    <n v="34"/>
    <s v="No"/>
    <s v="Travel_Frequently"/>
    <n v="618"/>
    <x v="1"/>
    <n v="3"/>
    <n v="1"/>
    <s v="Life Sciences"/>
    <n v="1"/>
    <n v="1103"/>
    <n v="1"/>
    <x v="1"/>
    <n v="45"/>
    <n v="3"/>
    <n v="2"/>
    <x v="4"/>
    <x v="0"/>
    <s v="Single"/>
    <n v="7756"/>
    <n v="22266"/>
    <n v="0"/>
    <s v="Y"/>
    <s v="No"/>
    <n v="17"/>
    <n v="3"/>
    <n v="3"/>
    <n v="80"/>
    <n v="0"/>
    <n v="7"/>
    <n v="1"/>
    <n v="2"/>
    <n v="6"/>
    <n v="2"/>
    <n v="0"/>
    <n v="4"/>
    <x v="1"/>
    <x v="2"/>
    <x v="0"/>
  </r>
  <r>
    <n v="37"/>
    <s v="No"/>
    <s v="Travel_Rarely"/>
    <n v="309"/>
    <x v="0"/>
    <n v="10"/>
    <n v="4"/>
    <s v="Life Sciences"/>
    <n v="1"/>
    <n v="1105"/>
    <n v="4"/>
    <x v="0"/>
    <n v="88"/>
    <n v="2"/>
    <n v="2"/>
    <x v="0"/>
    <x v="0"/>
    <s v="Divorced"/>
    <n v="6694"/>
    <n v="24223"/>
    <n v="2"/>
    <s v="Y"/>
    <s v="Yes"/>
    <n v="14"/>
    <n v="3"/>
    <n v="3"/>
    <n v="80"/>
    <n v="3"/>
    <n v="8"/>
    <n v="5"/>
    <n v="3"/>
    <n v="1"/>
    <n v="0"/>
    <n v="0"/>
    <n v="0"/>
    <x v="1"/>
    <x v="0"/>
    <x v="1"/>
  </r>
  <r>
    <n v="25"/>
    <s v="Yes"/>
    <s v="Travel_Rarely"/>
    <n v="1219"/>
    <x v="1"/>
    <n v="4"/>
    <n v="1"/>
    <s v="Technical Degree"/>
    <n v="1"/>
    <n v="1106"/>
    <n v="4"/>
    <x v="1"/>
    <n v="32"/>
    <n v="3"/>
    <n v="1"/>
    <x v="2"/>
    <x v="0"/>
    <s v="Married"/>
    <n v="3691"/>
    <n v="4605"/>
    <n v="1"/>
    <s v="Y"/>
    <s v="Yes"/>
    <n v="15"/>
    <n v="3"/>
    <n v="2"/>
    <n v="80"/>
    <n v="1"/>
    <n v="7"/>
    <n v="3"/>
    <n v="4"/>
    <n v="7"/>
    <n v="7"/>
    <n v="5"/>
    <n v="6"/>
    <x v="0"/>
    <x v="3"/>
    <x v="0"/>
  </r>
  <r>
    <n v="26"/>
    <s v="Yes"/>
    <s v="Travel_Rarely"/>
    <n v="1330"/>
    <x v="1"/>
    <n v="21"/>
    <n v="3"/>
    <s v="Medical"/>
    <n v="1"/>
    <n v="1107"/>
    <n v="1"/>
    <x v="1"/>
    <n v="37"/>
    <n v="3"/>
    <n v="1"/>
    <x v="2"/>
    <x v="2"/>
    <s v="Divorced"/>
    <n v="2377"/>
    <n v="19373"/>
    <n v="1"/>
    <s v="Y"/>
    <s v="No"/>
    <n v="20"/>
    <n v="4"/>
    <n v="3"/>
    <n v="80"/>
    <n v="1"/>
    <n v="1"/>
    <n v="0"/>
    <n v="2"/>
    <n v="1"/>
    <n v="1"/>
    <n v="0"/>
    <n v="0"/>
    <x v="0"/>
    <x v="2"/>
    <x v="1"/>
  </r>
  <r>
    <n v="33"/>
    <s v="Yes"/>
    <s v="Travel_Rarely"/>
    <n v="1017"/>
    <x v="1"/>
    <n v="25"/>
    <n v="3"/>
    <s v="Medical"/>
    <n v="1"/>
    <n v="1108"/>
    <n v="1"/>
    <x v="1"/>
    <n v="55"/>
    <n v="2"/>
    <n v="1"/>
    <x v="1"/>
    <x v="1"/>
    <s v="Single"/>
    <n v="2313"/>
    <n v="2993"/>
    <n v="4"/>
    <s v="Y"/>
    <s v="Yes"/>
    <n v="20"/>
    <n v="4"/>
    <n v="2"/>
    <n v="80"/>
    <n v="0"/>
    <n v="5"/>
    <n v="0"/>
    <n v="3"/>
    <n v="2"/>
    <n v="2"/>
    <n v="2"/>
    <n v="2"/>
    <x v="0"/>
    <x v="2"/>
    <x v="1"/>
  </r>
  <r>
    <n v="42"/>
    <s v="No"/>
    <s v="Travel_Rarely"/>
    <n v="469"/>
    <x v="1"/>
    <n v="2"/>
    <n v="2"/>
    <s v="Medical"/>
    <n v="1"/>
    <n v="1109"/>
    <n v="4"/>
    <x v="1"/>
    <n v="35"/>
    <n v="3"/>
    <n v="4"/>
    <x v="5"/>
    <x v="3"/>
    <s v="Married"/>
    <n v="17665"/>
    <n v="14399"/>
    <n v="0"/>
    <s v="Y"/>
    <s v="No"/>
    <n v="17"/>
    <n v="3"/>
    <n v="4"/>
    <n v="80"/>
    <n v="1"/>
    <n v="23"/>
    <n v="3"/>
    <n v="3"/>
    <n v="22"/>
    <n v="6"/>
    <n v="13"/>
    <n v="7"/>
    <x v="1"/>
    <x v="0"/>
    <x v="3"/>
  </r>
  <r>
    <n v="28"/>
    <s v="Yes"/>
    <s v="Travel_Frequently"/>
    <n v="1009"/>
    <x v="1"/>
    <n v="1"/>
    <n v="3"/>
    <s v="Medical"/>
    <n v="1"/>
    <n v="1111"/>
    <n v="1"/>
    <x v="1"/>
    <n v="45"/>
    <n v="2"/>
    <n v="1"/>
    <x v="2"/>
    <x v="1"/>
    <s v="Divorced"/>
    <n v="2596"/>
    <n v="7160"/>
    <n v="1"/>
    <s v="Y"/>
    <s v="No"/>
    <n v="15"/>
    <n v="3"/>
    <n v="1"/>
    <n v="80"/>
    <n v="2"/>
    <n v="1"/>
    <n v="2"/>
    <n v="3"/>
    <n v="1"/>
    <n v="0"/>
    <n v="0"/>
    <n v="0"/>
    <x v="0"/>
    <x v="2"/>
    <x v="1"/>
  </r>
  <r>
    <n v="50"/>
    <s v="Yes"/>
    <s v="Travel_Frequently"/>
    <n v="959"/>
    <x v="0"/>
    <n v="1"/>
    <n v="4"/>
    <s v="Other"/>
    <n v="1"/>
    <n v="1113"/>
    <n v="4"/>
    <x v="1"/>
    <n v="81"/>
    <n v="3"/>
    <n v="2"/>
    <x v="0"/>
    <x v="2"/>
    <s v="Single"/>
    <n v="4728"/>
    <n v="17251"/>
    <n v="3"/>
    <s v="Y"/>
    <s v="Yes"/>
    <n v="14"/>
    <n v="3"/>
    <n v="4"/>
    <n v="80"/>
    <n v="0"/>
    <n v="5"/>
    <n v="4"/>
    <n v="3"/>
    <n v="0"/>
    <n v="0"/>
    <n v="0"/>
    <n v="0"/>
    <x v="0"/>
    <x v="1"/>
    <x v="1"/>
  </r>
  <r>
    <n v="33"/>
    <s v="No"/>
    <s v="Travel_Frequently"/>
    <n v="970"/>
    <x v="0"/>
    <n v="7"/>
    <n v="3"/>
    <s v="Life Sciences"/>
    <n v="1"/>
    <n v="1114"/>
    <n v="4"/>
    <x v="0"/>
    <n v="30"/>
    <n v="3"/>
    <n v="2"/>
    <x v="0"/>
    <x v="1"/>
    <s v="Married"/>
    <n v="4302"/>
    <n v="13401"/>
    <n v="0"/>
    <s v="Y"/>
    <s v="No"/>
    <n v="17"/>
    <n v="3"/>
    <n v="3"/>
    <n v="80"/>
    <n v="1"/>
    <n v="4"/>
    <n v="3"/>
    <n v="3"/>
    <n v="3"/>
    <n v="2"/>
    <n v="0"/>
    <n v="2"/>
    <x v="1"/>
    <x v="2"/>
    <x v="2"/>
  </r>
  <r>
    <n v="34"/>
    <s v="No"/>
    <s v="Non-Travel"/>
    <n v="697"/>
    <x v="1"/>
    <n v="3"/>
    <n v="4"/>
    <s v="Life Sciences"/>
    <n v="1"/>
    <n v="1115"/>
    <n v="3"/>
    <x v="1"/>
    <n v="40"/>
    <n v="2"/>
    <n v="1"/>
    <x v="1"/>
    <x v="0"/>
    <s v="Married"/>
    <n v="2979"/>
    <n v="22478"/>
    <n v="3"/>
    <s v="Y"/>
    <s v="No"/>
    <n v="17"/>
    <n v="3"/>
    <n v="4"/>
    <n v="80"/>
    <n v="3"/>
    <n v="6"/>
    <n v="2"/>
    <n v="3"/>
    <n v="0"/>
    <n v="0"/>
    <n v="0"/>
    <n v="0"/>
    <x v="1"/>
    <x v="2"/>
    <x v="1"/>
  </r>
  <r>
    <n v="48"/>
    <s v="No"/>
    <s v="Non-Travel"/>
    <n v="1262"/>
    <x v="1"/>
    <n v="1"/>
    <n v="4"/>
    <s v="Medical"/>
    <n v="1"/>
    <n v="1116"/>
    <n v="1"/>
    <x v="1"/>
    <n v="35"/>
    <n v="4"/>
    <n v="4"/>
    <x v="5"/>
    <x v="0"/>
    <s v="Single"/>
    <n v="16885"/>
    <n v="16154"/>
    <n v="2"/>
    <s v="Y"/>
    <s v="No"/>
    <n v="22"/>
    <n v="4"/>
    <n v="3"/>
    <n v="80"/>
    <n v="0"/>
    <n v="27"/>
    <n v="3"/>
    <n v="2"/>
    <n v="5"/>
    <n v="4"/>
    <n v="2"/>
    <n v="1"/>
    <x v="1"/>
    <x v="1"/>
    <x v="2"/>
  </r>
  <r>
    <n v="45"/>
    <s v="No"/>
    <s v="Non-Travel"/>
    <n v="1050"/>
    <x v="0"/>
    <n v="9"/>
    <n v="4"/>
    <s v="Life Sciences"/>
    <n v="1"/>
    <n v="1117"/>
    <n v="2"/>
    <x v="0"/>
    <n v="65"/>
    <n v="2"/>
    <n v="2"/>
    <x v="0"/>
    <x v="2"/>
    <s v="Married"/>
    <n v="5593"/>
    <n v="17970"/>
    <n v="1"/>
    <s v="Y"/>
    <s v="No"/>
    <n v="13"/>
    <n v="3"/>
    <n v="4"/>
    <n v="80"/>
    <n v="1"/>
    <n v="15"/>
    <n v="2"/>
    <n v="3"/>
    <n v="15"/>
    <n v="10"/>
    <n v="4"/>
    <n v="12"/>
    <x v="1"/>
    <x v="0"/>
    <x v="3"/>
  </r>
  <r>
    <n v="52"/>
    <s v="No"/>
    <s v="Travel_Rarely"/>
    <n v="994"/>
    <x v="1"/>
    <n v="7"/>
    <n v="4"/>
    <s v="Life Sciences"/>
    <n v="1"/>
    <n v="1118"/>
    <n v="2"/>
    <x v="1"/>
    <n v="87"/>
    <n v="3"/>
    <n v="3"/>
    <x v="4"/>
    <x v="1"/>
    <s v="Single"/>
    <n v="10445"/>
    <n v="15322"/>
    <n v="7"/>
    <s v="Y"/>
    <s v="No"/>
    <n v="19"/>
    <n v="3"/>
    <n v="4"/>
    <n v="80"/>
    <n v="0"/>
    <n v="18"/>
    <n v="4"/>
    <n v="3"/>
    <n v="8"/>
    <n v="6"/>
    <n v="4"/>
    <n v="0"/>
    <x v="1"/>
    <x v="1"/>
    <x v="0"/>
  </r>
  <r>
    <n v="38"/>
    <s v="No"/>
    <s v="Travel_Rarely"/>
    <n v="770"/>
    <x v="0"/>
    <n v="10"/>
    <n v="4"/>
    <s v="Marketing"/>
    <n v="1"/>
    <n v="1119"/>
    <n v="3"/>
    <x v="1"/>
    <n v="73"/>
    <n v="2"/>
    <n v="3"/>
    <x v="0"/>
    <x v="2"/>
    <s v="Divorced"/>
    <n v="8740"/>
    <n v="5569"/>
    <n v="0"/>
    <s v="Y"/>
    <s v="Yes"/>
    <n v="14"/>
    <n v="3"/>
    <n v="2"/>
    <n v="80"/>
    <n v="2"/>
    <n v="9"/>
    <n v="2"/>
    <n v="3"/>
    <n v="8"/>
    <n v="7"/>
    <n v="2"/>
    <n v="7"/>
    <x v="1"/>
    <x v="0"/>
    <x v="0"/>
  </r>
  <r>
    <n v="29"/>
    <s v="No"/>
    <s v="Travel_Rarely"/>
    <n v="1107"/>
    <x v="1"/>
    <n v="28"/>
    <n v="4"/>
    <s v="Life Sciences"/>
    <n v="1"/>
    <n v="1120"/>
    <n v="3"/>
    <x v="0"/>
    <n v="93"/>
    <n v="3"/>
    <n v="1"/>
    <x v="1"/>
    <x v="0"/>
    <s v="Divorced"/>
    <n v="2514"/>
    <n v="26968"/>
    <n v="4"/>
    <s v="Y"/>
    <s v="No"/>
    <n v="22"/>
    <n v="4"/>
    <n v="1"/>
    <n v="80"/>
    <n v="1"/>
    <n v="11"/>
    <n v="1"/>
    <n v="3"/>
    <n v="7"/>
    <n v="5"/>
    <n v="1"/>
    <n v="7"/>
    <x v="1"/>
    <x v="2"/>
    <x v="0"/>
  </r>
  <r>
    <n v="28"/>
    <s v="No"/>
    <s v="Travel_Rarely"/>
    <n v="950"/>
    <x v="1"/>
    <n v="3"/>
    <n v="3"/>
    <s v="Medical"/>
    <n v="1"/>
    <n v="1121"/>
    <n v="4"/>
    <x v="0"/>
    <n v="93"/>
    <n v="3"/>
    <n v="3"/>
    <x v="3"/>
    <x v="1"/>
    <s v="Divorced"/>
    <n v="7655"/>
    <n v="8039"/>
    <n v="0"/>
    <s v="Y"/>
    <s v="No"/>
    <n v="17"/>
    <n v="3"/>
    <n v="2"/>
    <n v="80"/>
    <n v="3"/>
    <n v="10"/>
    <n v="3"/>
    <n v="2"/>
    <n v="9"/>
    <n v="7"/>
    <n v="1"/>
    <n v="7"/>
    <x v="1"/>
    <x v="2"/>
    <x v="0"/>
  </r>
  <r>
    <n v="46"/>
    <s v="No"/>
    <s v="Travel_Rarely"/>
    <n v="406"/>
    <x v="0"/>
    <n v="3"/>
    <n v="1"/>
    <s v="Marketing"/>
    <n v="1"/>
    <n v="1124"/>
    <n v="1"/>
    <x v="1"/>
    <n v="52"/>
    <n v="3"/>
    <n v="4"/>
    <x v="5"/>
    <x v="2"/>
    <s v="Married"/>
    <n v="17465"/>
    <n v="15596"/>
    <n v="3"/>
    <s v="Y"/>
    <s v="No"/>
    <n v="12"/>
    <n v="3"/>
    <n v="4"/>
    <n v="80"/>
    <n v="1"/>
    <n v="23"/>
    <n v="3"/>
    <n v="3"/>
    <n v="12"/>
    <n v="9"/>
    <n v="4"/>
    <n v="9"/>
    <x v="1"/>
    <x v="1"/>
    <x v="3"/>
  </r>
  <r>
    <n v="38"/>
    <s v="No"/>
    <s v="Travel_Rarely"/>
    <n v="130"/>
    <x v="0"/>
    <n v="2"/>
    <n v="2"/>
    <s v="Marketing"/>
    <n v="1"/>
    <n v="1125"/>
    <n v="4"/>
    <x v="1"/>
    <n v="32"/>
    <n v="3"/>
    <n v="3"/>
    <x v="0"/>
    <x v="1"/>
    <s v="Single"/>
    <n v="7351"/>
    <n v="20619"/>
    <n v="7"/>
    <s v="Y"/>
    <s v="No"/>
    <n v="16"/>
    <n v="3"/>
    <n v="3"/>
    <n v="80"/>
    <n v="0"/>
    <n v="10"/>
    <n v="2"/>
    <n v="3"/>
    <n v="1"/>
    <n v="0"/>
    <n v="0"/>
    <n v="0"/>
    <x v="1"/>
    <x v="0"/>
    <x v="1"/>
  </r>
  <r>
    <n v="43"/>
    <s v="No"/>
    <s v="Travel_Frequently"/>
    <n v="1082"/>
    <x v="1"/>
    <n v="27"/>
    <n v="3"/>
    <s v="Life Sciences"/>
    <n v="1"/>
    <n v="1126"/>
    <n v="3"/>
    <x v="0"/>
    <n v="83"/>
    <n v="3"/>
    <n v="3"/>
    <x v="3"/>
    <x v="3"/>
    <s v="Married"/>
    <n v="10820"/>
    <n v="11535"/>
    <n v="8"/>
    <s v="Y"/>
    <s v="No"/>
    <n v="11"/>
    <n v="3"/>
    <n v="3"/>
    <n v="80"/>
    <n v="1"/>
    <n v="18"/>
    <n v="1"/>
    <n v="3"/>
    <n v="8"/>
    <n v="7"/>
    <n v="0"/>
    <n v="1"/>
    <x v="1"/>
    <x v="0"/>
    <x v="0"/>
  </r>
  <r>
    <n v="39"/>
    <s v="Yes"/>
    <s v="Travel_Frequently"/>
    <n v="203"/>
    <x v="1"/>
    <n v="2"/>
    <n v="3"/>
    <s v="Life Sciences"/>
    <n v="1"/>
    <n v="1127"/>
    <n v="1"/>
    <x v="1"/>
    <n v="84"/>
    <n v="3"/>
    <n v="4"/>
    <x v="4"/>
    <x v="0"/>
    <s v="Divorced"/>
    <n v="12169"/>
    <n v="13547"/>
    <n v="7"/>
    <s v="Y"/>
    <s v="No"/>
    <n v="11"/>
    <n v="3"/>
    <n v="4"/>
    <n v="80"/>
    <n v="3"/>
    <n v="21"/>
    <n v="4"/>
    <n v="3"/>
    <n v="18"/>
    <n v="7"/>
    <n v="11"/>
    <n v="5"/>
    <x v="0"/>
    <x v="0"/>
    <x v="3"/>
  </r>
  <r>
    <n v="40"/>
    <s v="No"/>
    <s v="Travel_Rarely"/>
    <n v="1308"/>
    <x v="1"/>
    <n v="14"/>
    <n v="3"/>
    <s v="Medical"/>
    <n v="1"/>
    <n v="1128"/>
    <n v="3"/>
    <x v="1"/>
    <n v="44"/>
    <n v="2"/>
    <n v="5"/>
    <x v="7"/>
    <x v="2"/>
    <s v="Single"/>
    <n v="19626"/>
    <n v="17544"/>
    <n v="1"/>
    <s v="Y"/>
    <s v="No"/>
    <n v="14"/>
    <n v="3"/>
    <n v="1"/>
    <n v="80"/>
    <n v="0"/>
    <n v="21"/>
    <n v="2"/>
    <n v="4"/>
    <n v="20"/>
    <n v="7"/>
    <n v="4"/>
    <n v="9"/>
    <x v="1"/>
    <x v="0"/>
    <x v="3"/>
  </r>
  <r>
    <n v="21"/>
    <s v="No"/>
    <s v="Travel_Rarely"/>
    <n v="984"/>
    <x v="1"/>
    <n v="1"/>
    <n v="1"/>
    <s v="Technical Degree"/>
    <n v="1"/>
    <n v="1131"/>
    <n v="4"/>
    <x v="0"/>
    <n v="70"/>
    <n v="2"/>
    <n v="1"/>
    <x v="1"/>
    <x v="1"/>
    <s v="Single"/>
    <n v="2070"/>
    <n v="25326"/>
    <n v="1"/>
    <s v="Y"/>
    <s v="Yes"/>
    <n v="11"/>
    <n v="3"/>
    <n v="3"/>
    <n v="80"/>
    <n v="0"/>
    <n v="2"/>
    <n v="6"/>
    <n v="4"/>
    <n v="2"/>
    <n v="2"/>
    <n v="2"/>
    <n v="2"/>
    <x v="1"/>
    <x v="3"/>
    <x v="1"/>
  </r>
  <r>
    <n v="39"/>
    <s v="No"/>
    <s v="Non-Travel"/>
    <n v="439"/>
    <x v="1"/>
    <n v="9"/>
    <n v="3"/>
    <s v="Life Sciences"/>
    <n v="1"/>
    <n v="1132"/>
    <n v="3"/>
    <x v="1"/>
    <n v="70"/>
    <n v="3"/>
    <n v="2"/>
    <x v="2"/>
    <x v="1"/>
    <s v="Single"/>
    <n v="6782"/>
    <n v="8770"/>
    <n v="9"/>
    <s v="Y"/>
    <s v="No"/>
    <n v="15"/>
    <n v="3"/>
    <n v="3"/>
    <n v="80"/>
    <n v="0"/>
    <n v="9"/>
    <n v="2"/>
    <n v="2"/>
    <n v="5"/>
    <n v="4"/>
    <n v="0"/>
    <n v="3"/>
    <x v="1"/>
    <x v="0"/>
    <x v="2"/>
  </r>
  <r>
    <n v="36"/>
    <s v="No"/>
    <s v="Non-Travel"/>
    <n v="217"/>
    <x v="1"/>
    <n v="18"/>
    <n v="4"/>
    <s v="Life Sciences"/>
    <n v="1"/>
    <n v="1133"/>
    <n v="1"/>
    <x v="1"/>
    <n v="78"/>
    <n v="3"/>
    <n v="2"/>
    <x v="3"/>
    <x v="0"/>
    <s v="Single"/>
    <n v="7779"/>
    <n v="23238"/>
    <n v="2"/>
    <s v="Y"/>
    <s v="No"/>
    <n v="20"/>
    <n v="4"/>
    <n v="1"/>
    <n v="80"/>
    <n v="0"/>
    <n v="18"/>
    <n v="0"/>
    <n v="3"/>
    <n v="11"/>
    <n v="9"/>
    <n v="0"/>
    <n v="9"/>
    <x v="1"/>
    <x v="0"/>
    <x v="3"/>
  </r>
  <r>
    <n v="31"/>
    <s v="No"/>
    <s v="Travel_Frequently"/>
    <n v="793"/>
    <x v="0"/>
    <n v="20"/>
    <n v="3"/>
    <s v="Life Sciences"/>
    <n v="1"/>
    <n v="1135"/>
    <n v="3"/>
    <x v="1"/>
    <n v="67"/>
    <n v="4"/>
    <n v="1"/>
    <x v="6"/>
    <x v="0"/>
    <s v="Married"/>
    <n v="2791"/>
    <n v="21981"/>
    <n v="0"/>
    <s v="Y"/>
    <s v="No"/>
    <n v="12"/>
    <n v="3"/>
    <n v="1"/>
    <n v="80"/>
    <n v="1"/>
    <n v="3"/>
    <n v="4"/>
    <n v="3"/>
    <n v="2"/>
    <n v="2"/>
    <n v="2"/>
    <n v="2"/>
    <x v="1"/>
    <x v="2"/>
    <x v="1"/>
  </r>
  <r>
    <n v="28"/>
    <s v="No"/>
    <s v="Travel_Rarely"/>
    <n v="1451"/>
    <x v="1"/>
    <n v="2"/>
    <n v="1"/>
    <s v="Life Sciences"/>
    <n v="1"/>
    <n v="1136"/>
    <n v="1"/>
    <x v="1"/>
    <n v="67"/>
    <n v="2"/>
    <n v="1"/>
    <x v="1"/>
    <x v="1"/>
    <s v="Married"/>
    <n v="3201"/>
    <n v="19911"/>
    <n v="0"/>
    <s v="Y"/>
    <s v="No"/>
    <n v="17"/>
    <n v="3"/>
    <n v="1"/>
    <n v="80"/>
    <n v="0"/>
    <n v="6"/>
    <n v="2"/>
    <n v="1"/>
    <n v="5"/>
    <n v="3"/>
    <n v="0"/>
    <n v="4"/>
    <x v="1"/>
    <x v="2"/>
    <x v="2"/>
  </r>
  <r>
    <n v="35"/>
    <s v="No"/>
    <s v="Travel_Frequently"/>
    <n v="1182"/>
    <x v="0"/>
    <n v="11"/>
    <n v="2"/>
    <s v="Marketing"/>
    <n v="1"/>
    <n v="1137"/>
    <n v="4"/>
    <x v="1"/>
    <n v="54"/>
    <n v="3"/>
    <n v="2"/>
    <x v="0"/>
    <x v="0"/>
    <s v="Divorced"/>
    <n v="4968"/>
    <n v="18500"/>
    <n v="1"/>
    <s v="Y"/>
    <s v="No"/>
    <n v="11"/>
    <n v="3"/>
    <n v="4"/>
    <n v="80"/>
    <n v="1"/>
    <n v="5"/>
    <n v="3"/>
    <n v="3"/>
    <n v="5"/>
    <n v="2"/>
    <n v="0"/>
    <n v="2"/>
    <x v="1"/>
    <x v="2"/>
    <x v="2"/>
  </r>
  <r>
    <n v="49"/>
    <s v="No"/>
    <s v="Travel_Rarely"/>
    <n v="174"/>
    <x v="0"/>
    <n v="8"/>
    <n v="4"/>
    <s v="Technical Degree"/>
    <n v="1"/>
    <n v="1138"/>
    <n v="4"/>
    <x v="1"/>
    <n v="56"/>
    <n v="2"/>
    <n v="4"/>
    <x v="0"/>
    <x v="1"/>
    <s v="Married"/>
    <n v="13120"/>
    <n v="11879"/>
    <n v="6"/>
    <s v="Y"/>
    <s v="No"/>
    <n v="17"/>
    <n v="3"/>
    <n v="2"/>
    <n v="80"/>
    <n v="1"/>
    <n v="22"/>
    <n v="3"/>
    <n v="3"/>
    <n v="9"/>
    <n v="8"/>
    <n v="2"/>
    <n v="3"/>
    <x v="1"/>
    <x v="1"/>
    <x v="0"/>
  </r>
  <r>
    <n v="34"/>
    <s v="No"/>
    <s v="Travel_Frequently"/>
    <n v="1003"/>
    <x v="1"/>
    <n v="2"/>
    <n v="2"/>
    <s v="Life Sciences"/>
    <n v="1"/>
    <n v="1140"/>
    <n v="4"/>
    <x v="1"/>
    <n v="95"/>
    <n v="3"/>
    <n v="2"/>
    <x v="3"/>
    <x v="2"/>
    <s v="Single"/>
    <n v="4033"/>
    <n v="15834"/>
    <n v="2"/>
    <s v="Y"/>
    <s v="No"/>
    <n v="11"/>
    <n v="3"/>
    <n v="4"/>
    <n v="80"/>
    <n v="0"/>
    <n v="5"/>
    <n v="3"/>
    <n v="2"/>
    <n v="3"/>
    <n v="2"/>
    <n v="0"/>
    <n v="2"/>
    <x v="1"/>
    <x v="2"/>
    <x v="2"/>
  </r>
  <r>
    <n v="29"/>
    <s v="No"/>
    <s v="Travel_Frequently"/>
    <n v="490"/>
    <x v="1"/>
    <n v="10"/>
    <n v="3"/>
    <s v="Life Sciences"/>
    <n v="1"/>
    <n v="1143"/>
    <n v="4"/>
    <x v="0"/>
    <n v="61"/>
    <n v="3"/>
    <n v="1"/>
    <x v="1"/>
    <x v="1"/>
    <s v="Divorced"/>
    <n v="3291"/>
    <n v="17940"/>
    <n v="0"/>
    <s v="Y"/>
    <s v="No"/>
    <n v="14"/>
    <n v="3"/>
    <n v="4"/>
    <n v="80"/>
    <n v="2"/>
    <n v="8"/>
    <n v="2"/>
    <n v="2"/>
    <n v="7"/>
    <n v="5"/>
    <n v="1"/>
    <n v="1"/>
    <x v="1"/>
    <x v="2"/>
    <x v="0"/>
  </r>
  <r>
    <n v="42"/>
    <s v="No"/>
    <s v="Travel_Rarely"/>
    <n v="188"/>
    <x v="1"/>
    <n v="29"/>
    <n v="3"/>
    <s v="Medical"/>
    <n v="1"/>
    <n v="1148"/>
    <n v="2"/>
    <x v="1"/>
    <n v="56"/>
    <n v="1"/>
    <n v="2"/>
    <x v="2"/>
    <x v="0"/>
    <s v="Single"/>
    <n v="4272"/>
    <n v="9558"/>
    <n v="4"/>
    <s v="Y"/>
    <s v="No"/>
    <n v="19"/>
    <n v="3"/>
    <n v="1"/>
    <n v="80"/>
    <n v="0"/>
    <n v="16"/>
    <n v="3"/>
    <n v="3"/>
    <n v="1"/>
    <n v="0"/>
    <n v="0"/>
    <n v="0"/>
    <x v="1"/>
    <x v="0"/>
    <x v="1"/>
  </r>
  <r>
    <n v="29"/>
    <s v="No"/>
    <s v="Travel_Rarely"/>
    <n v="718"/>
    <x v="1"/>
    <n v="8"/>
    <n v="1"/>
    <s v="Medical"/>
    <n v="1"/>
    <n v="1150"/>
    <n v="2"/>
    <x v="1"/>
    <n v="79"/>
    <n v="2"/>
    <n v="2"/>
    <x v="3"/>
    <x v="0"/>
    <s v="Married"/>
    <n v="5056"/>
    <n v="17689"/>
    <n v="1"/>
    <s v="Y"/>
    <s v="Yes"/>
    <n v="15"/>
    <n v="3"/>
    <n v="3"/>
    <n v="80"/>
    <n v="1"/>
    <n v="10"/>
    <n v="2"/>
    <n v="2"/>
    <n v="10"/>
    <n v="7"/>
    <n v="1"/>
    <n v="2"/>
    <x v="1"/>
    <x v="2"/>
    <x v="0"/>
  </r>
  <r>
    <n v="38"/>
    <s v="No"/>
    <s v="Travel_Rarely"/>
    <n v="433"/>
    <x v="2"/>
    <n v="1"/>
    <n v="3"/>
    <s v="Human Resources"/>
    <n v="1"/>
    <n v="1152"/>
    <n v="3"/>
    <x v="1"/>
    <n v="37"/>
    <n v="4"/>
    <n v="1"/>
    <x v="8"/>
    <x v="2"/>
    <s v="Married"/>
    <n v="2844"/>
    <n v="6004"/>
    <n v="1"/>
    <s v="Y"/>
    <s v="No"/>
    <n v="13"/>
    <n v="3"/>
    <n v="4"/>
    <n v="80"/>
    <n v="1"/>
    <n v="7"/>
    <n v="2"/>
    <n v="4"/>
    <n v="7"/>
    <n v="6"/>
    <n v="5"/>
    <n v="0"/>
    <x v="1"/>
    <x v="0"/>
    <x v="0"/>
  </r>
  <r>
    <n v="28"/>
    <s v="No"/>
    <s v="Travel_Frequently"/>
    <n v="773"/>
    <x v="1"/>
    <n v="6"/>
    <n v="3"/>
    <s v="Life Sciences"/>
    <n v="1"/>
    <n v="1154"/>
    <n v="3"/>
    <x v="1"/>
    <n v="39"/>
    <n v="2"/>
    <n v="1"/>
    <x v="1"/>
    <x v="2"/>
    <s v="Divorced"/>
    <n v="2703"/>
    <n v="22088"/>
    <n v="1"/>
    <s v="Y"/>
    <s v="Yes"/>
    <n v="14"/>
    <n v="3"/>
    <n v="4"/>
    <n v="80"/>
    <n v="1"/>
    <n v="3"/>
    <n v="2"/>
    <n v="3"/>
    <n v="3"/>
    <n v="1"/>
    <n v="0"/>
    <n v="2"/>
    <x v="1"/>
    <x v="2"/>
    <x v="2"/>
  </r>
  <r>
    <n v="18"/>
    <s v="Yes"/>
    <s v="Non-Travel"/>
    <n v="247"/>
    <x v="1"/>
    <n v="8"/>
    <n v="1"/>
    <s v="Medical"/>
    <n v="1"/>
    <n v="1156"/>
    <n v="3"/>
    <x v="1"/>
    <n v="80"/>
    <n v="3"/>
    <n v="1"/>
    <x v="2"/>
    <x v="2"/>
    <s v="Single"/>
    <n v="1904"/>
    <n v="13556"/>
    <n v="1"/>
    <s v="Y"/>
    <s v="No"/>
    <n v="12"/>
    <n v="3"/>
    <n v="4"/>
    <n v="80"/>
    <n v="0"/>
    <n v="0"/>
    <n v="0"/>
    <n v="3"/>
    <n v="0"/>
    <n v="0"/>
    <n v="0"/>
    <n v="0"/>
    <x v="0"/>
    <x v="3"/>
    <x v="1"/>
  </r>
  <r>
    <n v="33"/>
    <s v="Yes"/>
    <s v="Travel_Rarely"/>
    <n v="603"/>
    <x v="0"/>
    <n v="9"/>
    <n v="4"/>
    <s v="Marketing"/>
    <n v="1"/>
    <n v="1157"/>
    <n v="1"/>
    <x v="0"/>
    <n v="77"/>
    <n v="3"/>
    <n v="2"/>
    <x v="0"/>
    <x v="3"/>
    <s v="Single"/>
    <n v="8224"/>
    <n v="18385"/>
    <n v="0"/>
    <s v="Y"/>
    <s v="Yes"/>
    <n v="17"/>
    <n v="3"/>
    <n v="1"/>
    <n v="80"/>
    <n v="0"/>
    <n v="6"/>
    <n v="3"/>
    <n v="3"/>
    <n v="5"/>
    <n v="2"/>
    <n v="0"/>
    <n v="3"/>
    <x v="0"/>
    <x v="2"/>
    <x v="2"/>
  </r>
  <r>
    <n v="41"/>
    <s v="No"/>
    <s v="Travel_Rarely"/>
    <n v="167"/>
    <x v="1"/>
    <n v="12"/>
    <n v="4"/>
    <s v="Life Sciences"/>
    <n v="1"/>
    <n v="1158"/>
    <n v="2"/>
    <x v="1"/>
    <n v="46"/>
    <n v="3"/>
    <n v="1"/>
    <x v="2"/>
    <x v="0"/>
    <s v="Married"/>
    <n v="4766"/>
    <n v="9051"/>
    <n v="3"/>
    <s v="Y"/>
    <s v="Yes"/>
    <n v="11"/>
    <n v="3"/>
    <n v="1"/>
    <n v="80"/>
    <n v="1"/>
    <n v="6"/>
    <n v="4"/>
    <n v="3"/>
    <n v="1"/>
    <n v="0"/>
    <n v="0"/>
    <n v="0"/>
    <x v="1"/>
    <x v="0"/>
    <x v="1"/>
  </r>
  <r>
    <n v="31"/>
    <s v="Yes"/>
    <s v="Travel_Frequently"/>
    <n v="874"/>
    <x v="1"/>
    <n v="15"/>
    <n v="3"/>
    <s v="Medical"/>
    <n v="1"/>
    <n v="1160"/>
    <n v="3"/>
    <x v="1"/>
    <n v="72"/>
    <n v="3"/>
    <n v="1"/>
    <x v="2"/>
    <x v="2"/>
    <s v="Married"/>
    <n v="2610"/>
    <n v="6233"/>
    <n v="1"/>
    <s v="Y"/>
    <s v="No"/>
    <n v="12"/>
    <n v="3"/>
    <n v="3"/>
    <n v="80"/>
    <n v="1"/>
    <n v="2"/>
    <n v="5"/>
    <n v="2"/>
    <n v="2"/>
    <n v="2"/>
    <n v="2"/>
    <n v="2"/>
    <x v="0"/>
    <x v="2"/>
    <x v="1"/>
  </r>
  <r>
    <n v="37"/>
    <s v="No"/>
    <s v="Travel_Rarely"/>
    <n v="367"/>
    <x v="1"/>
    <n v="25"/>
    <n v="2"/>
    <s v="Medical"/>
    <n v="1"/>
    <n v="1161"/>
    <n v="3"/>
    <x v="0"/>
    <n v="52"/>
    <n v="2"/>
    <n v="2"/>
    <x v="4"/>
    <x v="0"/>
    <s v="Divorced"/>
    <n v="5731"/>
    <n v="17171"/>
    <n v="7"/>
    <s v="Y"/>
    <s v="No"/>
    <n v="13"/>
    <n v="3"/>
    <n v="3"/>
    <n v="80"/>
    <n v="2"/>
    <n v="9"/>
    <n v="2"/>
    <n v="3"/>
    <n v="6"/>
    <n v="2"/>
    <n v="1"/>
    <n v="3"/>
    <x v="1"/>
    <x v="0"/>
    <x v="0"/>
  </r>
  <r>
    <n v="27"/>
    <s v="No"/>
    <s v="Travel_Rarely"/>
    <n v="199"/>
    <x v="1"/>
    <n v="6"/>
    <n v="3"/>
    <s v="Life Sciences"/>
    <n v="1"/>
    <n v="1162"/>
    <n v="4"/>
    <x v="1"/>
    <n v="55"/>
    <n v="2"/>
    <n v="1"/>
    <x v="1"/>
    <x v="2"/>
    <s v="Married"/>
    <n v="2539"/>
    <n v="7950"/>
    <n v="1"/>
    <s v="Y"/>
    <s v="No"/>
    <n v="13"/>
    <n v="3"/>
    <n v="3"/>
    <n v="80"/>
    <n v="1"/>
    <n v="4"/>
    <n v="0"/>
    <n v="3"/>
    <n v="4"/>
    <n v="2"/>
    <n v="2"/>
    <n v="2"/>
    <x v="1"/>
    <x v="2"/>
    <x v="2"/>
  </r>
  <r>
    <n v="34"/>
    <s v="No"/>
    <s v="Travel_Rarely"/>
    <n v="1400"/>
    <x v="0"/>
    <n v="9"/>
    <n v="1"/>
    <s v="Life Sciences"/>
    <n v="1"/>
    <n v="1163"/>
    <n v="2"/>
    <x v="0"/>
    <n v="70"/>
    <n v="3"/>
    <n v="2"/>
    <x v="0"/>
    <x v="2"/>
    <s v="Married"/>
    <n v="5714"/>
    <n v="5829"/>
    <n v="1"/>
    <s v="Y"/>
    <s v="No"/>
    <n v="20"/>
    <n v="4"/>
    <n v="1"/>
    <n v="80"/>
    <n v="0"/>
    <n v="6"/>
    <n v="3"/>
    <n v="2"/>
    <n v="6"/>
    <n v="5"/>
    <n v="1"/>
    <n v="3"/>
    <x v="1"/>
    <x v="2"/>
    <x v="0"/>
  </r>
  <r>
    <n v="35"/>
    <s v="No"/>
    <s v="Travel_Rarely"/>
    <n v="528"/>
    <x v="2"/>
    <n v="8"/>
    <n v="4"/>
    <s v="Technical Degree"/>
    <n v="1"/>
    <n v="1164"/>
    <n v="3"/>
    <x v="1"/>
    <n v="100"/>
    <n v="3"/>
    <n v="1"/>
    <x v="8"/>
    <x v="2"/>
    <s v="Single"/>
    <n v="4323"/>
    <n v="7108"/>
    <n v="1"/>
    <s v="Y"/>
    <s v="No"/>
    <n v="17"/>
    <n v="3"/>
    <n v="2"/>
    <n v="80"/>
    <n v="0"/>
    <n v="6"/>
    <n v="2"/>
    <n v="1"/>
    <n v="5"/>
    <n v="4"/>
    <n v="1"/>
    <n v="4"/>
    <x v="1"/>
    <x v="2"/>
    <x v="2"/>
  </r>
  <r>
    <n v="29"/>
    <s v="Yes"/>
    <s v="Travel_Rarely"/>
    <n v="408"/>
    <x v="0"/>
    <n v="23"/>
    <n v="1"/>
    <s v="Life Sciences"/>
    <n v="1"/>
    <n v="1165"/>
    <n v="4"/>
    <x v="0"/>
    <n v="45"/>
    <n v="2"/>
    <n v="3"/>
    <x v="0"/>
    <x v="3"/>
    <s v="Married"/>
    <n v="7336"/>
    <n v="11162"/>
    <n v="1"/>
    <s v="Y"/>
    <s v="No"/>
    <n v="13"/>
    <n v="3"/>
    <n v="1"/>
    <n v="80"/>
    <n v="1"/>
    <n v="11"/>
    <n v="3"/>
    <n v="1"/>
    <n v="11"/>
    <n v="8"/>
    <n v="3"/>
    <n v="10"/>
    <x v="0"/>
    <x v="2"/>
    <x v="3"/>
  </r>
  <r>
    <n v="40"/>
    <s v="No"/>
    <s v="Travel_Frequently"/>
    <n v="593"/>
    <x v="1"/>
    <n v="9"/>
    <n v="4"/>
    <s v="Medical"/>
    <n v="1"/>
    <n v="1166"/>
    <n v="2"/>
    <x v="0"/>
    <n v="88"/>
    <n v="3"/>
    <n v="3"/>
    <x v="7"/>
    <x v="2"/>
    <s v="Single"/>
    <n v="13499"/>
    <n v="13782"/>
    <n v="9"/>
    <s v="Y"/>
    <s v="No"/>
    <n v="17"/>
    <n v="3"/>
    <n v="3"/>
    <n v="80"/>
    <n v="0"/>
    <n v="20"/>
    <n v="3"/>
    <n v="2"/>
    <n v="18"/>
    <n v="7"/>
    <n v="2"/>
    <n v="13"/>
    <x v="1"/>
    <x v="0"/>
    <x v="3"/>
  </r>
  <r>
    <n v="42"/>
    <s v="Yes"/>
    <s v="Travel_Frequently"/>
    <n v="481"/>
    <x v="0"/>
    <n v="12"/>
    <n v="3"/>
    <s v="Life Sciences"/>
    <n v="1"/>
    <n v="1167"/>
    <n v="3"/>
    <x v="1"/>
    <n v="44"/>
    <n v="3"/>
    <n v="4"/>
    <x v="0"/>
    <x v="3"/>
    <s v="Single"/>
    <n v="13758"/>
    <n v="2447"/>
    <n v="0"/>
    <s v="Y"/>
    <s v="Yes"/>
    <n v="12"/>
    <n v="3"/>
    <n v="2"/>
    <n v="80"/>
    <n v="0"/>
    <n v="22"/>
    <n v="2"/>
    <n v="2"/>
    <n v="21"/>
    <n v="9"/>
    <n v="13"/>
    <n v="14"/>
    <x v="0"/>
    <x v="0"/>
    <x v="3"/>
  </r>
  <r>
    <n v="42"/>
    <s v="No"/>
    <s v="Travel_Rarely"/>
    <n v="647"/>
    <x v="0"/>
    <n v="4"/>
    <n v="4"/>
    <s v="Marketing"/>
    <n v="1"/>
    <n v="1171"/>
    <n v="2"/>
    <x v="1"/>
    <n v="45"/>
    <n v="3"/>
    <n v="2"/>
    <x v="0"/>
    <x v="3"/>
    <s v="Single"/>
    <n v="5155"/>
    <n v="2253"/>
    <n v="7"/>
    <s v="Y"/>
    <s v="No"/>
    <n v="13"/>
    <n v="3"/>
    <n v="4"/>
    <n v="80"/>
    <n v="0"/>
    <n v="9"/>
    <n v="3"/>
    <n v="4"/>
    <n v="6"/>
    <n v="4"/>
    <n v="1"/>
    <n v="5"/>
    <x v="1"/>
    <x v="0"/>
    <x v="0"/>
  </r>
  <r>
    <n v="35"/>
    <s v="No"/>
    <s v="Travel_Rarely"/>
    <n v="982"/>
    <x v="1"/>
    <n v="1"/>
    <n v="4"/>
    <s v="Medical"/>
    <n v="1"/>
    <n v="1172"/>
    <n v="4"/>
    <x v="1"/>
    <n v="58"/>
    <n v="2"/>
    <n v="1"/>
    <x v="2"/>
    <x v="2"/>
    <s v="Married"/>
    <n v="2258"/>
    <n v="16340"/>
    <n v="6"/>
    <s v="Y"/>
    <s v="No"/>
    <n v="12"/>
    <n v="3"/>
    <n v="2"/>
    <n v="80"/>
    <n v="1"/>
    <n v="10"/>
    <n v="2"/>
    <n v="3"/>
    <n v="8"/>
    <n v="0"/>
    <n v="1"/>
    <n v="7"/>
    <x v="1"/>
    <x v="2"/>
    <x v="0"/>
  </r>
  <r>
    <n v="24"/>
    <s v="No"/>
    <s v="Travel_Rarely"/>
    <n v="477"/>
    <x v="1"/>
    <n v="24"/>
    <n v="3"/>
    <s v="Medical"/>
    <n v="1"/>
    <n v="1173"/>
    <n v="4"/>
    <x v="1"/>
    <n v="49"/>
    <n v="3"/>
    <n v="1"/>
    <x v="2"/>
    <x v="1"/>
    <s v="Single"/>
    <n v="3597"/>
    <n v="6409"/>
    <n v="8"/>
    <s v="Y"/>
    <s v="No"/>
    <n v="22"/>
    <n v="4"/>
    <n v="4"/>
    <n v="80"/>
    <n v="0"/>
    <n v="6"/>
    <n v="2"/>
    <n v="3"/>
    <n v="4"/>
    <n v="3"/>
    <n v="1"/>
    <n v="2"/>
    <x v="1"/>
    <x v="3"/>
    <x v="2"/>
  </r>
  <r>
    <n v="28"/>
    <s v="Yes"/>
    <s v="Travel_Rarely"/>
    <n v="1485"/>
    <x v="1"/>
    <n v="12"/>
    <n v="1"/>
    <s v="Life Sciences"/>
    <n v="1"/>
    <n v="1175"/>
    <n v="3"/>
    <x v="0"/>
    <n v="79"/>
    <n v="3"/>
    <n v="1"/>
    <x v="2"/>
    <x v="0"/>
    <s v="Married"/>
    <n v="2515"/>
    <n v="22955"/>
    <n v="1"/>
    <s v="Y"/>
    <s v="Yes"/>
    <n v="11"/>
    <n v="3"/>
    <n v="4"/>
    <n v="80"/>
    <n v="0"/>
    <n v="1"/>
    <n v="4"/>
    <n v="2"/>
    <n v="1"/>
    <n v="1"/>
    <n v="0"/>
    <n v="0"/>
    <x v="0"/>
    <x v="2"/>
    <x v="1"/>
  </r>
  <r>
    <n v="26"/>
    <s v="No"/>
    <s v="Travel_Rarely"/>
    <n v="1384"/>
    <x v="1"/>
    <n v="3"/>
    <n v="4"/>
    <s v="Medical"/>
    <n v="1"/>
    <n v="1177"/>
    <n v="1"/>
    <x v="1"/>
    <n v="82"/>
    <n v="4"/>
    <n v="1"/>
    <x v="2"/>
    <x v="0"/>
    <s v="Married"/>
    <n v="4420"/>
    <n v="13421"/>
    <n v="1"/>
    <s v="Y"/>
    <s v="No"/>
    <n v="22"/>
    <n v="4"/>
    <n v="2"/>
    <n v="80"/>
    <n v="1"/>
    <n v="8"/>
    <n v="2"/>
    <n v="3"/>
    <n v="8"/>
    <n v="7"/>
    <n v="0"/>
    <n v="7"/>
    <x v="1"/>
    <x v="2"/>
    <x v="0"/>
  </r>
  <r>
    <n v="30"/>
    <s v="No"/>
    <s v="Travel_Rarely"/>
    <n v="852"/>
    <x v="0"/>
    <n v="10"/>
    <n v="3"/>
    <s v="Marketing"/>
    <n v="1"/>
    <n v="1179"/>
    <n v="3"/>
    <x v="1"/>
    <n v="72"/>
    <n v="2"/>
    <n v="2"/>
    <x v="0"/>
    <x v="2"/>
    <s v="Married"/>
    <n v="6578"/>
    <n v="2706"/>
    <n v="1"/>
    <s v="Y"/>
    <s v="No"/>
    <n v="18"/>
    <n v="3"/>
    <n v="1"/>
    <n v="80"/>
    <n v="1"/>
    <n v="10"/>
    <n v="3"/>
    <n v="3"/>
    <n v="10"/>
    <n v="3"/>
    <n v="1"/>
    <n v="4"/>
    <x v="1"/>
    <x v="2"/>
    <x v="0"/>
  </r>
  <r>
    <n v="40"/>
    <s v="No"/>
    <s v="Travel_Frequently"/>
    <n v="902"/>
    <x v="1"/>
    <n v="26"/>
    <n v="2"/>
    <s v="Medical"/>
    <n v="1"/>
    <n v="1180"/>
    <n v="3"/>
    <x v="0"/>
    <n v="92"/>
    <n v="2"/>
    <n v="2"/>
    <x v="1"/>
    <x v="0"/>
    <s v="Married"/>
    <n v="4422"/>
    <n v="21203"/>
    <n v="3"/>
    <s v="Y"/>
    <s v="Yes"/>
    <n v="13"/>
    <n v="3"/>
    <n v="4"/>
    <n v="80"/>
    <n v="1"/>
    <n v="16"/>
    <n v="3"/>
    <n v="1"/>
    <n v="1"/>
    <n v="1"/>
    <n v="0"/>
    <n v="0"/>
    <x v="1"/>
    <x v="0"/>
    <x v="1"/>
  </r>
  <r>
    <n v="35"/>
    <s v="No"/>
    <s v="Travel_Rarely"/>
    <n v="819"/>
    <x v="1"/>
    <n v="2"/>
    <n v="3"/>
    <s v="Life Sciences"/>
    <n v="1"/>
    <n v="1182"/>
    <n v="3"/>
    <x v="1"/>
    <n v="44"/>
    <n v="2"/>
    <n v="3"/>
    <x v="3"/>
    <x v="1"/>
    <s v="Divorced"/>
    <n v="10274"/>
    <n v="19588"/>
    <n v="2"/>
    <s v="Y"/>
    <s v="No"/>
    <n v="18"/>
    <n v="3"/>
    <n v="2"/>
    <n v="80"/>
    <n v="1"/>
    <n v="15"/>
    <n v="2"/>
    <n v="4"/>
    <n v="7"/>
    <n v="7"/>
    <n v="6"/>
    <n v="4"/>
    <x v="1"/>
    <x v="2"/>
    <x v="0"/>
  </r>
  <r>
    <n v="34"/>
    <s v="No"/>
    <s v="Travel_Frequently"/>
    <n v="669"/>
    <x v="1"/>
    <n v="1"/>
    <n v="3"/>
    <s v="Medical"/>
    <n v="1"/>
    <n v="1184"/>
    <n v="4"/>
    <x v="1"/>
    <n v="97"/>
    <n v="2"/>
    <n v="2"/>
    <x v="4"/>
    <x v="3"/>
    <s v="Single"/>
    <n v="5343"/>
    <n v="25755"/>
    <n v="0"/>
    <s v="Y"/>
    <s v="No"/>
    <n v="20"/>
    <n v="4"/>
    <n v="3"/>
    <n v="80"/>
    <n v="0"/>
    <n v="14"/>
    <n v="3"/>
    <n v="3"/>
    <n v="13"/>
    <n v="9"/>
    <n v="4"/>
    <n v="9"/>
    <x v="1"/>
    <x v="2"/>
    <x v="3"/>
  </r>
  <r>
    <n v="35"/>
    <s v="No"/>
    <s v="Travel_Frequently"/>
    <n v="636"/>
    <x v="1"/>
    <n v="4"/>
    <n v="4"/>
    <s v="Other"/>
    <n v="1"/>
    <n v="1185"/>
    <n v="4"/>
    <x v="1"/>
    <n v="47"/>
    <n v="2"/>
    <n v="1"/>
    <x v="2"/>
    <x v="0"/>
    <s v="Married"/>
    <n v="2376"/>
    <n v="26537"/>
    <n v="1"/>
    <s v="Y"/>
    <s v="No"/>
    <n v="13"/>
    <n v="3"/>
    <n v="2"/>
    <n v="80"/>
    <n v="1"/>
    <n v="2"/>
    <n v="2"/>
    <n v="4"/>
    <n v="2"/>
    <n v="2"/>
    <n v="2"/>
    <n v="2"/>
    <x v="1"/>
    <x v="2"/>
    <x v="1"/>
  </r>
  <r>
    <n v="43"/>
    <s v="Yes"/>
    <s v="Travel_Rarely"/>
    <n v="1372"/>
    <x v="0"/>
    <n v="9"/>
    <n v="3"/>
    <s v="Marketing"/>
    <n v="1"/>
    <n v="1188"/>
    <n v="1"/>
    <x v="0"/>
    <n v="85"/>
    <n v="1"/>
    <n v="2"/>
    <x v="0"/>
    <x v="2"/>
    <s v="Single"/>
    <n v="5346"/>
    <n v="9489"/>
    <n v="8"/>
    <s v="Y"/>
    <s v="No"/>
    <n v="13"/>
    <n v="3"/>
    <n v="2"/>
    <n v="80"/>
    <n v="0"/>
    <n v="7"/>
    <n v="2"/>
    <n v="2"/>
    <n v="4"/>
    <n v="3"/>
    <n v="1"/>
    <n v="3"/>
    <x v="0"/>
    <x v="0"/>
    <x v="2"/>
  </r>
  <r>
    <n v="32"/>
    <s v="No"/>
    <s v="Non-Travel"/>
    <n v="862"/>
    <x v="0"/>
    <n v="2"/>
    <n v="1"/>
    <s v="Life Sciences"/>
    <n v="1"/>
    <n v="1190"/>
    <n v="3"/>
    <x v="0"/>
    <n v="76"/>
    <n v="3"/>
    <n v="1"/>
    <x v="6"/>
    <x v="3"/>
    <s v="Divorced"/>
    <n v="2827"/>
    <n v="14947"/>
    <n v="1"/>
    <s v="Y"/>
    <s v="No"/>
    <n v="12"/>
    <n v="3"/>
    <n v="3"/>
    <n v="80"/>
    <n v="3"/>
    <n v="1"/>
    <n v="3"/>
    <n v="3"/>
    <n v="1"/>
    <n v="0"/>
    <n v="0"/>
    <n v="0"/>
    <x v="1"/>
    <x v="2"/>
    <x v="1"/>
  </r>
  <r>
    <n v="56"/>
    <s v="No"/>
    <s v="Travel_Rarely"/>
    <n v="718"/>
    <x v="1"/>
    <n v="4"/>
    <n v="4"/>
    <s v="Technical Degree"/>
    <n v="1"/>
    <n v="1191"/>
    <n v="4"/>
    <x v="0"/>
    <n v="92"/>
    <n v="3"/>
    <n v="5"/>
    <x v="5"/>
    <x v="3"/>
    <s v="Divorced"/>
    <n v="19943"/>
    <n v="18575"/>
    <n v="4"/>
    <s v="Y"/>
    <s v="No"/>
    <n v="13"/>
    <n v="3"/>
    <n v="4"/>
    <n v="80"/>
    <n v="1"/>
    <n v="28"/>
    <n v="2"/>
    <n v="3"/>
    <n v="5"/>
    <n v="2"/>
    <n v="4"/>
    <n v="2"/>
    <x v="1"/>
    <x v="1"/>
    <x v="2"/>
  </r>
  <r>
    <n v="29"/>
    <s v="No"/>
    <s v="Travel_Rarely"/>
    <n v="1401"/>
    <x v="1"/>
    <n v="6"/>
    <n v="1"/>
    <s v="Medical"/>
    <n v="1"/>
    <n v="1192"/>
    <n v="2"/>
    <x v="0"/>
    <n v="54"/>
    <n v="3"/>
    <n v="1"/>
    <x v="2"/>
    <x v="0"/>
    <s v="Married"/>
    <n v="3131"/>
    <n v="26342"/>
    <n v="1"/>
    <s v="Y"/>
    <s v="No"/>
    <n v="13"/>
    <n v="3"/>
    <n v="1"/>
    <n v="80"/>
    <n v="1"/>
    <n v="10"/>
    <n v="5"/>
    <n v="3"/>
    <n v="10"/>
    <n v="8"/>
    <n v="0"/>
    <n v="8"/>
    <x v="1"/>
    <x v="2"/>
    <x v="0"/>
  </r>
  <r>
    <n v="19"/>
    <s v="No"/>
    <s v="Travel_Rarely"/>
    <n v="645"/>
    <x v="1"/>
    <n v="9"/>
    <n v="2"/>
    <s v="Life Sciences"/>
    <n v="1"/>
    <n v="1193"/>
    <n v="3"/>
    <x v="1"/>
    <n v="54"/>
    <n v="3"/>
    <n v="1"/>
    <x v="1"/>
    <x v="3"/>
    <s v="Single"/>
    <n v="2552"/>
    <n v="7172"/>
    <n v="1"/>
    <s v="Y"/>
    <s v="No"/>
    <n v="25"/>
    <n v="4"/>
    <n v="3"/>
    <n v="80"/>
    <n v="0"/>
    <n v="1"/>
    <n v="4"/>
    <n v="3"/>
    <n v="1"/>
    <n v="1"/>
    <n v="0"/>
    <n v="0"/>
    <x v="1"/>
    <x v="3"/>
    <x v="1"/>
  </r>
  <r>
    <n v="45"/>
    <s v="No"/>
    <s v="Travel_Rarely"/>
    <n v="1457"/>
    <x v="1"/>
    <n v="7"/>
    <n v="3"/>
    <s v="Medical"/>
    <n v="1"/>
    <n v="1195"/>
    <n v="1"/>
    <x v="0"/>
    <n v="83"/>
    <n v="3"/>
    <n v="1"/>
    <x v="1"/>
    <x v="2"/>
    <s v="Married"/>
    <n v="4477"/>
    <n v="20100"/>
    <n v="4"/>
    <s v="Y"/>
    <s v="Yes"/>
    <n v="19"/>
    <n v="3"/>
    <n v="3"/>
    <n v="80"/>
    <n v="1"/>
    <n v="7"/>
    <n v="2"/>
    <n v="2"/>
    <n v="3"/>
    <n v="2"/>
    <n v="0"/>
    <n v="2"/>
    <x v="1"/>
    <x v="0"/>
    <x v="2"/>
  </r>
  <r>
    <n v="37"/>
    <s v="No"/>
    <s v="Travel_Rarely"/>
    <n v="977"/>
    <x v="1"/>
    <n v="1"/>
    <n v="3"/>
    <s v="Life Sciences"/>
    <n v="1"/>
    <n v="1196"/>
    <n v="4"/>
    <x v="0"/>
    <n v="56"/>
    <n v="2"/>
    <n v="2"/>
    <x v="3"/>
    <x v="0"/>
    <s v="Married"/>
    <n v="6474"/>
    <n v="9961"/>
    <n v="1"/>
    <s v="Y"/>
    <s v="No"/>
    <n v="13"/>
    <n v="3"/>
    <n v="2"/>
    <n v="80"/>
    <n v="1"/>
    <n v="14"/>
    <n v="2"/>
    <n v="2"/>
    <n v="14"/>
    <n v="8"/>
    <n v="3"/>
    <n v="11"/>
    <x v="1"/>
    <x v="0"/>
    <x v="3"/>
  </r>
  <r>
    <n v="20"/>
    <s v="No"/>
    <s v="Travel_Rarely"/>
    <n v="805"/>
    <x v="1"/>
    <n v="3"/>
    <n v="3"/>
    <s v="Life Sciences"/>
    <n v="1"/>
    <n v="1198"/>
    <n v="1"/>
    <x v="1"/>
    <n v="87"/>
    <n v="2"/>
    <n v="1"/>
    <x v="2"/>
    <x v="2"/>
    <s v="Single"/>
    <n v="3033"/>
    <n v="12828"/>
    <n v="1"/>
    <s v="Y"/>
    <s v="No"/>
    <n v="12"/>
    <n v="3"/>
    <n v="1"/>
    <n v="80"/>
    <n v="0"/>
    <n v="2"/>
    <n v="2"/>
    <n v="2"/>
    <n v="2"/>
    <n v="2"/>
    <n v="1"/>
    <n v="2"/>
    <x v="1"/>
    <x v="3"/>
    <x v="1"/>
  </r>
  <r>
    <n v="44"/>
    <s v="Yes"/>
    <s v="Travel_Rarely"/>
    <n v="1097"/>
    <x v="1"/>
    <n v="10"/>
    <n v="4"/>
    <s v="Life Sciences"/>
    <n v="1"/>
    <n v="1200"/>
    <n v="3"/>
    <x v="1"/>
    <n v="96"/>
    <n v="3"/>
    <n v="1"/>
    <x v="1"/>
    <x v="2"/>
    <s v="Single"/>
    <n v="2936"/>
    <n v="10826"/>
    <n v="1"/>
    <s v="Y"/>
    <s v="Yes"/>
    <n v="11"/>
    <n v="3"/>
    <n v="3"/>
    <n v="80"/>
    <n v="0"/>
    <n v="6"/>
    <n v="4"/>
    <n v="3"/>
    <n v="6"/>
    <n v="4"/>
    <n v="0"/>
    <n v="2"/>
    <x v="0"/>
    <x v="0"/>
    <x v="0"/>
  </r>
  <r>
    <n v="53"/>
    <s v="No"/>
    <s v="Travel_Rarely"/>
    <n v="1223"/>
    <x v="1"/>
    <n v="7"/>
    <n v="2"/>
    <s v="Medical"/>
    <n v="1"/>
    <n v="1201"/>
    <n v="4"/>
    <x v="0"/>
    <n v="50"/>
    <n v="3"/>
    <n v="5"/>
    <x v="5"/>
    <x v="2"/>
    <s v="Divorced"/>
    <n v="18606"/>
    <n v="18640"/>
    <n v="3"/>
    <s v="Y"/>
    <s v="No"/>
    <n v="18"/>
    <n v="3"/>
    <n v="2"/>
    <n v="80"/>
    <n v="1"/>
    <n v="26"/>
    <n v="6"/>
    <n v="3"/>
    <n v="7"/>
    <n v="7"/>
    <n v="4"/>
    <n v="7"/>
    <x v="1"/>
    <x v="1"/>
    <x v="0"/>
  </r>
  <r>
    <n v="29"/>
    <s v="No"/>
    <s v="Travel_Rarely"/>
    <n v="942"/>
    <x v="1"/>
    <n v="15"/>
    <n v="1"/>
    <s v="Life Sciences"/>
    <n v="1"/>
    <n v="1202"/>
    <n v="2"/>
    <x v="0"/>
    <n v="69"/>
    <n v="1"/>
    <n v="1"/>
    <x v="1"/>
    <x v="0"/>
    <s v="Married"/>
    <n v="2168"/>
    <n v="26933"/>
    <n v="0"/>
    <s v="Y"/>
    <s v="Yes"/>
    <n v="18"/>
    <n v="3"/>
    <n v="1"/>
    <n v="80"/>
    <n v="1"/>
    <n v="6"/>
    <n v="2"/>
    <n v="2"/>
    <n v="5"/>
    <n v="4"/>
    <n v="1"/>
    <n v="3"/>
    <x v="1"/>
    <x v="2"/>
    <x v="2"/>
  </r>
  <r>
    <n v="22"/>
    <s v="Yes"/>
    <s v="Travel_Frequently"/>
    <n v="1256"/>
    <x v="1"/>
    <n v="3"/>
    <n v="4"/>
    <s v="Life Sciences"/>
    <n v="1"/>
    <n v="1203"/>
    <n v="3"/>
    <x v="1"/>
    <n v="48"/>
    <n v="2"/>
    <n v="1"/>
    <x v="1"/>
    <x v="0"/>
    <s v="Married"/>
    <n v="2853"/>
    <n v="4223"/>
    <n v="0"/>
    <s v="Y"/>
    <s v="Yes"/>
    <n v="11"/>
    <n v="3"/>
    <n v="2"/>
    <n v="80"/>
    <n v="1"/>
    <n v="1"/>
    <n v="5"/>
    <n v="3"/>
    <n v="0"/>
    <n v="0"/>
    <n v="0"/>
    <n v="0"/>
    <x v="0"/>
    <x v="3"/>
    <x v="1"/>
  </r>
  <r>
    <n v="46"/>
    <s v="No"/>
    <s v="Travel_Rarely"/>
    <n v="1402"/>
    <x v="0"/>
    <n v="2"/>
    <n v="3"/>
    <s v="Marketing"/>
    <n v="1"/>
    <n v="1204"/>
    <n v="3"/>
    <x v="0"/>
    <n v="69"/>
    <n v="3"/>
    <n v="4"/>
    <x v="5"/>
    <x v="3"/>
    <s v="Married"/>
    <n v="17048"/>
    <n v="24097"/>
    <n v="8"/>
    <s v="Y"/>
    <s v="No"/>
    <n v="23"/>
    <n v="4"/>
    <n v="1"/>
    <n v="80"/>
    <n v="0"/>
    <n v="28"/>
    <n v="2"/>
    <n v="3"/>
    <n v="26"/>
    <n v="15"/>
    <n v="15"/>
    <n v="9"/>
    <x v="1"/>
    <x v="1"/>
    <x v="3"/>
  </r>
  <r>
    <n v="44"/>
    <s v="No"/>
    <s v="Non-Travel"/>
    <n v="111"/>
    <x v="1"/>
    <n v="17"/>
    <n v="3"/>
    <s v="Life Sciences"/>
    <n v="1"/>
    <n v="1206"/>
    <n v="4"/>
    <x v="1"/>
    <n v="74"/>
    <n v="1"/>
    <n v="1"/>
    <x v="1"/>
    <x v="2"/>
    <s v="Single"/>
    <n v="2290"/>
    <n v="4279"/>
    <n v="2"/>
    <s v="Y"/>
    <s v="No"/>
    <n v="13"/>
    <n v="3"/>
    <n v="4"/>
    <n v="80"/>
    <n v="0"/>
    <n v="6"/>
    <n v="3"/>
    <n v="3"/>
    <n v="0"/>
    <n v="0"/>
    <n v="0"/>
    <n v="0"/>
    <x v="1"/>
    <x v="0"/>
    <x v="1"/>
  </r>
  <r>
    <n v="33"/>
    <s v="No"/>
    <s v="Travel_Rarely"/>
    <n v="147"/>
    <x v="2"/>
    <n v="2"/>
    <n v="3"/>
    <s v="Human Resources"/>
    <n v="1"/>
    <n v="1207"/>
    <n v="2"/>
    <x v="1"/>
    <n v="99"/>
    <n v="3"/>
    <n v="1"/>
    <x v="8"/>
    <x v="2"/>
    <s v="Married"/>
    <n v="3600"/>
    <n v="8429"/>
    <n v="1"/>
    <s v="Y"/>
    <s v="No"/>
    <n v="13"/>
    <n v="3"/>
    <n v="4"/>
    <n v="80"/>
    <n v="1"/>
    <n v="5"/>
    <n v="2"/>
    <n v="3"/>
    <n v="5"/>
    <n v="4"/>
    <n v="1"/>
    <n v="4"/>
    <x v="1"/>
    <x v="2"/>
    <x v="2"/>
  </r>
  <r>
    <n v="41"/>
    <s v="Yes"/>
    <s v="Non-Travel"/>
    <n v="906"/>
    <x v="1"/>
    <n v="5"/>
    <n v="2"/>
    <s v="Life Sciences"/>
    <n v="1"/>
    <n v="1210"/>
    <n v="1"/>
    <x v="1"/>
    <n v="95"/>
    <n v="2"/>
    <n v="1"/>
    <x v="1"/>
    <x v="3"/>
    <s v="Divorced"/>
    <n v="2107"/>
    <n v="20293"/>
    <n v="6"/>
    <s v="Y"/>
    <s v="No"/>
    <n v="17"/>
    <n v="3"/>
    <n v="1"/>
    <n v="80"/>
    <n v="1"/>
    <n v="5"/>
    <n v="2"/>
    <n v="1"/>
    <n v="1"/>
    <n v="0"/>
    <n v="0"/>
    <n v="0"/>
    <x v="0"/>
    <x v="0"/>
    <x v="1"/>
  </r>
  <r>
    <n v="30"/>
    <s v="No"/>
    <s v="Travel_Rarely"/>
    <n v="1329"/>
    <x v="0"/>
    <n v="29"/>
    <n v="4"/>
    <s v="Life Sciences"/>
    <n v="1"/>
    <n v="1211"/>
    <n v="3"/>
    <x v="1"/>
    <n v="61"/>
    <n v="3"/>
    <n v="2"/>
    <x v="0"/>
    <x v="3"/>
    <s v="Divorced"/>
    <n v="4115"/>
    <n v="13192"/>
    <n v="8"/>
    <s v="Y"/>
    <s v="No"/>
    <n v="19"/>
    <n v="3"/>
    <n v="3"/>
    <n v="80"/>
    <n v="3"/>
    <n v="8"/>
    <n v="3"/>
    <n v="3"/>
    <n v="4"/>
    <n v="3"/>
    <n v="0"/>
    <n v="3"/>
    <x v="1"/>
    <x v="2"/>
    <x v="2"/>
  </r>
  <r>
    <n v="40"/>
    <s v="No"/>
    <s v="Travel_Frequently"/>
    <n v="1184"/>
    <x v="0"/>
    <n v="2"/>
    <n v="4"/>
    <s v="Medical"/>
    <n v="1"/>
    <n v="1212"/>
    <n v="2"/>
    <x v="1"/>
    <n v="62"/>
    <n v="3"/>
    <n v="2"/>
    <x v="0"/>
    <x v="1"/>
    <s v="Married"/>
    <n v="4327"/>
    <n v="25440"/>
    <n v="5"/>
    <s v="Y"/>
    <s v="No"/>
    <n v="12"/>
    <n v="3"/>
    <n v="4"/>
    <n v="80"/>
    <n v="3"/>
    <n v="5"/>
    <n v="2"/>
    <n v="3"/>
    <n v="0"/>
    <n v="0"/>
    <n v="0"/>
    <n v="0"/>
    <x v="1"/>
    <x v="0"/>
    <x v="1"/>
  </r>
  <r>
    <n v="50"/>
    <s v="No"/>
    <s v="Travel_Frequently"/>
    <n v="1421"/>
    <x v="1"/>
    <n v="2"/>
    <n v="3"/>
    <s v="Medical"/>
    <n v="1"/>
    <n v="1215"/>
    <n v="4"/>
    <x v="0"/>
    <n v="30"/>
    <n v="3"/>
    <n v="4"/>
    <x v="5"/>
    <x v="3"/>
    <s v="Married"/>
    <n v="17856"/>
    <n v="9490"/>
    <n v="2"/>
    <s v="Y"/>
    <s v="No"/>
    <n v="22"/>
    <n v="4"/>
    <n v="3"/>
    <n v="80"/>
    <n v="1"/>
    <n v="32"/>
    <n v="3"/>
    <n v="3"/>
    <n v="2"/>
    <n v="2"/>
    <n v="2"/>
    <n v="2"/>
    <x v="1"/>
    <x v="1"/>
    <x v="1"/>
  </r>
  <r>
    <n v="28"/>
    <s v="No"/>
    <s v="Travel_Rarely"/>
    <n v="1179"/>
    <x v="1"/>
    <n v="19"/>
    <n v="4"/>
    <s v="Medical"/>
    <n v="1"/>
    <n v="1216"/>
    <n v="4"/>
    <x v="1"/>
    <n v="78"/>
    <n v="2"/>
    <n v="1"/>
    <x v="2"/>
    <x v="3"/>
    <s v="Married"/>
    <n v="3196"/>
    <n v="12449"/>
    <n v="1"/>
    <s v="Y"/>
    <s v="No"/>
    <n v="12"/>
    <n v="3"/>
    <n v="3"/>
    <n v="80"/>
    <n v="3"/>
    <n v="6"/>
    <n v="2"/>
    <n v="3"/>
    <n v="6"/>
    <n v="5"/>
    <n v="3"/>
    <n v="3"/>
    <x v="1"/>
    <x v="2"/>
    <x v="0"/>
  </r>
  <r>
    <n v="46"/>
    <s v="No"/>
    <s v="Travel_Rarely"/>
    <n v="1450"/>
    <x v="1"/>
    <n v="15"/>
    <n v="2"/>
    <s v="Life Sciences"/>
    <n v="1"/>
    <n v="1217"/>
    <n v="4"/>
    <x v="1"/>
    <n v="52"/>
    <n v="3"/>
    <n v="5"/>
    <x v="7"/>
    <x v="1"/>
    <s v="Married"/>
    <n v="19081"/>
    <n v="10849"/>
    <n v="5"/>
    <s v="Y"/>
    <s v="No"/>
    <n v="11"/>
    <n v="3"/>
    <n v="1"/>
    <n v="80"/>
    <n v="1"/>
    <n v="25"/>
    <n v="2"/>
    <n v="3"/>
    <n v="4"/>
    <n v="2"/>
    <n v="0"/>
    <n v="3"/>
    <x v="1"/>
    <x v="1"/>
    <x v="2"/>
  </r>
  <r>
    <n v="35"/>
    <s v="No"/>
    <s v="Travel_Rarely"/>
    <n v="1361"/>
    <x v="0"/>
    <n v="17"/>
    <n v="4"/>
    <s v="Life Sciences"/>
    <n v="1"/>
    <n v="1218"/>
    <n v="3"/>
    <x v="1"/>
    <n v="94"/>
    <n v="3"/>
    <n v="2"/>
    <x v="0"/>
    <x v="3"/>
    <s v="Married"/>
    <n v="8966"/>
    <n v="21026"/>
    <n v="3"/>
    <s v="Y"/>
    <s v="Yes"/>
    <n v="15"/>
    <n v="3"/>
    <n v="4"/>
    <n v="80"/>
    <n v="3"/>
    <n v="15"/>
    <n v="2"/>
    <n v="3"/>
    <n v="7"/>
    <n v="7"/>
    <n v="1"/>
    <n v="7"/>
    <x v="1"/>
    <x v="2"/>
    <x v="0"/>
  </r>
  <r>
    <n v="24"/>
    <s v="Yes"/>
    <s v="Travel_Rarely"/>
    <n v="984"/>
    <x v="1"/>
    <n v="17"/>
    <n v="2"/>
    <s v="Life Sciences"/>
    <n v="1"/>
    <n v="1219"/>
    <n v="4"/>
    <x v="0"/>
    <n v="97"/>
    <n v="3"/>
    <n v="1"/>
    <x v="2"/>
    <x v="1"/>
    <s v="Married"/>
    <n v="2210"/>
    <n v="3372"/>
    <n v="1"/>
    <s v="Y"/>
    <s v="No"/>
    <n v="13"/>
    <n v="3"/>
    <n v="1"/>
    <n v="80"/>
    <n v="1"/>
    <n v="1"/>
    <n v="3"/>
    <n v="1"/>
    <n v="1"/>
    <n v="0"/>
    <n v="0"/>
    <n v="0"/>
    <x v="0"/>
    <x v="3"/>
    <x v="1"/>
  </r>
  <r>
    <n v="33"/>
    <s v="No"/>
    <s v="Travel_Frequently"/>
    <n v="1146"/>
    <x v="0"/>
    <n v="25"/>
    <n v="3"/>
    <s v="Medical"/>
    <n v="1"/>
    <n v="1220"/>
    <n v="2"/>
    <x v="0"/>
    <n v="82"/>
    <n v="3"/>
    <n v="2"/>
    <x v="0"/>
    <x v="2"/>
    <s v="Married"/>
    <n v="4539"/>
    <n v="4905"/>
    <n v="1"/>
    <s v="Y"/>
    <s v="No"/>
    <n v="12"/>
    <n v="3"/>
    <n v="1"/>
    <n v="80"/>
    <n v="1"/>
    <n v="10"/>
    <n v="3"/>
    <n v="2"/>
    <n v="10"/>
    <n v="7"/>
    <n v="0"/>
    <n v="1"/>
    <x v="1"/>
    <x v="2"/>
    <x v="0"/>
  </r>
  <r>
    <n v="36"/>
    <s v="No"/>
    <s v="Travel_Rarely"/>
    <n v="917"/>
    <x v="1"/>
    <n v="6"/>
    <n v="4"/>
    <s v="Life Sciences"/>
    <n v="1"/>
    <n v="1221"/>
    <n v="3"/>
    <x v="1"/>
    <n v="60"/>
    <n v="1"/>
    <n v="1"/>
    <x v="2"/>
    <x v="2"/>
    <s v="Divorced"/>
    <n v="2741"/>
    <n v="6865"/>
    <n v="1"/>
    <s v="Y"/>
    <s v="No"/>
    <n v="14"/>
    <n v="3"/>
    <n v="3"/>
    <n v="80"/>
    <n v="1"/>
    <n v="7"/>
    <n v="4"/>
    <n v="3"/>
    <n v="7"/>
    <n v="7"/>
    <n v="1"/>
    <n v="7"/>
    <x v="1"/>
    <x v="0"/>
    <x v="0"/>
  </r>
  <r>
    <n v="30"/>
    <s v="No"/>
    <s v="Travel_Rarely"/>
    <n v="853"/>
    <x v="1"/>
    <n v="7"/>
    <n v="4"/>
    <s v="Life Sciences"/>
    <n v="1"/>
    <n v="1224"/>
    <n v="3"/>
    <x v="1"/>
    <n v="49"/>
    <n v="3"/>
    <n v="2"/>
    <x v="2"/>
    <x v="2"/>
    <s v="Divorced"/>
    <n v="3491"/>
    <n v="11309"/>
    <n v="1"/>
    <s v="Y"/>
    <s v="No"/>
    <n v="13"/>
    <n v="3"/>
    <n v="1"/>
    <n v="80"/>
    <n v="3"/>
    <n v="10"/>
    <n v="4"/>
    <n v="2"/>
    <n v="10"/>
    <n v="7"/>
    <n v="8"/>
    <n v="9"/>
    <x v="1"/>
    <x v="2"/>
    <x v="0"/>
  </r>
  <r>
    <n v="44"/>
    <s v="No"/>
    <s v="Travel_Rarely"/>
    <n v="200"/>
    <x v="1"/>
    <n v="29"/>
    <n v="4"/>
    <s v="Other"/>
    <n v="1"/>
    <n v="1225"/>
    <n v="4"/>
    <x v="1"/>
    <n v="32"/>
    <n v="3"/>
    <n v="2"/>
    <x v="1"/>
    <x v="0"/>
    <s v="Single"/>
    <n v="4541"/>
    <n v="7744"/>
    <n v="1"/>
    <s v="Y"/>
    <s v="No"/>
    <n v="25"/>
    <n v="4"/>
    <n v="2"/>
    <n v="80"/>
    <n v="0"/>
    <n v="20"/>
    <n v="3"/>
    <n v="3"/>
    <n v="20"/>
    <n v="11"/>
    <n v="13"/>
    <n v="17"/>
    <x v="1"/>
    <x v="0"/>
    <x v="3"/>
  </r>
  <r>
    <n v="20"/>
    <s v="No"/>
    <s v="Travel_Rarely"/>
    <n v="654"/>
    <x v="0"/>
    <n v="21"/>
    <n v="3"/>
    <s v="Marketing"/>
    <n v="1"/>
    <n v="1226"/>
    <n v="3"/>
    <x v="1"/>
    <n v="43"/>
    <n v="4"/>
    <n v="1"/>
    <x v="6"/>
    <x v="0"/>
    <s v="Single"/>
    <n v="2678"/>
    <n v="5050"/>
    <n v="1"/>
    <s v="Y"/>
    <s v="No"/>
    <n v="17"/>
    <n v="3"/>
    <n v="4"/>
    <n v="80"/>
    <n v="0"/>
    <n v="2"/>
    <n v="2"/>
    <n v="3"/>
    <n v="2"/>
    <n v="1"/>
    <n v="2"/>
    <n v="2"/>
    <x v="1"/>
    <x v="3"/>
    <x v="1"/>
  </r>
  <r>
    <n v="46"/>
    <s v="No"/>
    <s v="Travel_Rarely"/>
    <n v="150"/>
    <x v="1"/>
    <n v="2"/>
    <n v="4"/>
    <s v="Technical Degree"/>
    <n v="1"/>
    <n v="1228"/>
    <n v="4"/>
    <x v="1"/>
    <n v="60"/>
    <n v="3"/>
    <n v="2"/>
    <x v="3"/>
    <x v="0"/>
    <s v="Divorced"/>
    <n v="7379"/>
    <n v="17433"/>
    <n v="2"/>
    <s v="Y"/>
    <s v="No"/>
    <n v="11"/>
    <n v="3"/>
    <n v="3"/>
    <n v="80"/>
    <n v="1"/>
    <n v="12"/>
    <n v="3"/>
    <n v="2"/>
    <n v="6"/>
    <n v="3"/>
    <n v="1"/>
    <n v="4"/>
    <x v="1"/>
    <x v="1"/>
    <x v="0"/>
  </r>
  <r>
    <n v="42"/>
    <s v="No"/>
    <s v="Non-Travel"/>
    <n v="179"/>
    <x v="2"/>
    <n v="2"/>
    <n v="5"/>
    <s v="Medical"/>
    <n v="1"/>
    <n v="1231"/>
    <n v="4"/>
    <x v="1"/>
    <n v="79"/>
    <n v="4"/>
    <n v="2"/>
    <x v="8"/>
    <x v="3"/>
    <s v="Married"/>
    <n v="6272"/>
    <n v="12858"/>
    <n v="7"/>
    <s v="Y"/>
    <s v="No"/>
    <n v="16"/>
    <n v="3"/>
    <n v="1"/>
    <n v="80"/>
    <n v="1"/>
    <n v="10"/>
    <n v="3"/>
    <n v="4"/>
    <n v="4"/>
    <n v="3"/>
    <n v="0"/>
    <n v="3"/>
    <x v="1"/>
    <x v="0"/>
    <x v="2"/>
  </r>
  <r>
    <n v="60"/>
    <s v="No"/>
    <s v="Travel_Rarely"/>
    <n v="696"/>
    <x v="0"/>
    <n v="7"/>
    <n v="4"/>
    <s v="Marketing"/>
    <n v="1"/>
    <n v="1233"/>
    <n v="2"/>
    <x v="1"/>
    <n v="52"/>
    <n v="4"/>
    <n v="2"/>
    <x v="0"/>
    <x v="0"/>
    <s v="Divorced"/>
    <n v="5220"/>
    <n v="10893"/>
    <n v="0"/>
    <s v="Y"/>
    <s v="Yes"/>
    <n v="18"/>
    <n v="3"/>
    <n v="2"/>
    <n v="80"/>
    <n v="1"/>
    <n v="12"/>
    <n v="3"/>
    <n v="3"/>
    <n v="11"/>
    <n v="7"/>
    <n v="1"/>
    <n v="9"/>
    <x v="1"/>
    <x v="1"/>
    <x v="3"/>
  </r>
  <r>
    <n v="32"/>
    <s v="No"/>
    <s v="Travel_Frequently"/>
    <n v="116"/>
    <x v="1"/>
    <n v="13"/>
    <n v="3"/>
    <s v="Other"/>
    <n v="1"/>
    <n v="1234"/>
    <n v="3"/>
    <x v="0"/>
    <n v="77"/>
    <n v="2"/>
    <n v="1"/>
    <x v="2"/>
    <x v="1"/>
    <s v="Married"/>
    <n v="2743"/>
    <n v="7331"/>
    <n v="1"/>
    <s v="Y"/>
    <s v="No"/>
    <n v="20"/>
    <n v="4"/>
    <n v="3"/>
    <n v="80"/>
    <n v="1"/>
    <n v="2"/>
    <n v="2"/>
    <n v="3"/>
    <n v="2"/>
    <n v="2"/>
    <n v="2"/>
    <n v="2"/>
    <x v="1"/>
    <x v="2"/>
    <x v="1"/>
  </r>
  <r>
    <n v="32"/>
    <s v="No"/>
    <s v="Travel_Frequently"/>
    <n v="1316"/>
    <x v="1"/>
    <n v="2"/>
    <n v="2"/>
    <s v="Life Sciences"/>
    <n v="1"/>
    <n v="1235"/>
    <n v="4"/>
    <x v="0"/>
    <n v="38"/>
    <n v="3"/>
    <n v="2"/>
    <x v="1"/>
    <x v="2"/>
    <s v="Single"/>
    <n v="4998"/>
    <n v="2338"/>
    <n v="4"/>
    <s v="Y"/>
    <s v="Yes"/>
    <n v="14"/>
    <n v="3"/>
    <n v="4"/>
    <n v="80"/>
    <n v="0"/>
    <n v="10"/>
    <n v="2"/>
    <n v="3"/>
    <n v="8"/>
    <n v="7"/>
    <n v="0"/>
    <n v="7"/>
    <x v="1"/>
    <x v="2"/>
    <x v="0"/>
  </r>
  <r>
    <n v="36"/>
    <s v="No"/>
    <s v="Travel_Rarely"/>
    <n v="363"/>
    <x v="1"/>
    <n v="1"/>
    <n v="3"/>
    <s v="Technical Degree"/>
    <n v="1"/>
    <n v="1237"/>
    <n v="3"/>
    <x v="0"/>
    <n v="77"/>
    <n v="1"/>
    <n v="3"/>
    <x v="3"/>
    <x v="3"/>
    <s v="Divorced"/>
    <n v="10252"/>
    <n v="4235"/>
    <n v="2"/>
    <s v="Y"/>
    <s v="Yes"/>
    <n v="21"/>
    <n v="4"/>
    <n v="3"/>
    <n v="80"/>
    <n v="1"/>
    <n v="17"/>
    <n v="2"/>
    <n v="3"/>
    <n v="7"/>
    <n v="7"/>
    <n v="7"/>
    <n v="7"/>
    <x v="1"/>
    <x v="0"/>
    <x v="0"/>
  </r>
  <r>
    <n v="33"/>
    <s v="No"/>
    <s v="Travel_Rarely"/>
    <n v="117"/>
    <x v="1"/>
    <n v="9"/>
    <n v="3"/>
    <s v="Medical"/>
    <n v="1"/>
    <n v="1238"/>
    <n v="1"/>
    <x v="1"/>
    <n v="60"/>
    <n v="3"/>
    <n v="1"/>
    <x v="1"/>
    <x v="0"/>
    <s v="Married"/>
    <n v="2781"/>
    <n v="6311"/>
    <n v="0"/>
    <s v="Y"/>
    <s v="No"/>
    <n v="13"/>
    <n v="3"/>
    <n v="2"/>
    <n v="80"/>
    <n v="1"/>
    <n v="15"/>
    <n v="5"/>
    <n v="3"/>
    <n v="14"/>
    <n v="10"/>
    <n v="4"/>
    <n v="10"/>
    <x v="1"/>
    <x v="2"/>
    <x v="3"/>
  </r>
  <r>
    <n v="40"/>
    <s v="No"/>
    <s v="Travel_Rarely"/>
    <n v="107"/>
    <x v="0"/>
    <n v="10"/>
    <n v="3"/>
    <s v="Technical Degree"/>
    <n v="1"/>
    <n v="1239"/>
    <n v="2"/>
    <x v="0"/>
    <n v="84"/>
    <n v="2"/>
    <n v="2"/>
    <x v="0"/>
    <x v="1"/>
    <s v="Divorced"/>
    <n v="6852"/>
    <n v="11591"/>
    <n v="7"/>
    <s v="Y"/>
    <s v="No"/>
    <n v="12"/>
    <n v="3"/>
    <n v="2"/>
    <n v="80"/>
    <n v="1"/>
    <n v="7"/>
    <n v="2"/>
    <n v="4"/>
    <n v="5"/>
    <n v="1"/>
    <n v="1"/>
    <n v="3"/>
    <x v="1"/>
    <x v="0"/>
    <x v="2"/>
  </r>
  <r>
    <n v="25"/>
    <s v="No"/>
    <s v="Travel_Rarely"/>
    <n v="1356"/>
    <x v="0"/>
    <n v="10"/>
    <n v="4"/>
    <s v="Life Sciences"/>
    <n v="1"/>
    <n v="1240"/>
    <n v="3"/>
    <x v="1"/>
    <n v="57"/>
    <n v="3"/>
    <n v="2"/>
    <x v="0"/>
    <x v="0"/>
    <s v="Single"/>
    <n v="4950"/>
    <n v="20623"/>
    <n v="0"/>
    <s v="Y"/>
    <s v="No"/>
    <n v="14"/>
    <n v="3"/>
    <n v="2"/>
    <n v="80"/>
    <n v="0"/>
    <n v="5"/>
    <n v="4"/>
    <n v="3"/>
    <n v="4"/>
    <n v="3"/>
    <n v="1"/>
    <n v="1"/>
    <x v="1"/>
    <x v="3"/>
    <x v="2"/>
  </r>
  <r>
    <n v="30"/>
    <s v="No"/>
    <s v="Travel_Rarely"/>
    <n v="1465"/>
    <x v="1"/>
    <n v="1"/>
    <n v="3"/>
    <s v="Medical"/>
    <n v="1"/>
    <n v="1241"/>
    <n v="4"/>
    <x v="1"/>
    <n v="63"/>
    <n v="3"/>
    <n v="1"/>
    <x v="1"/>
    <x v="1"/>
    <s v="Married"/>
    <n v="3579"/>
    <n v="9369"/>
    <n v="0"/>
    <s v="Y"/>
    <s v="Yes"/>
    <n v="21"/>
    <n v="4"/>
    <n v="1"/>
    <n v="80"/>
    <n v="1"/>
    <n v="12"/>
    <n v="2"/>
    <n v="3"/>
    <n v="11"/>
    <n v="9"/>
    <n v="5"/>
    <n v="7"/>
    <x v="1"/>
    <x v="2"/>
    <x v="3"/>
  </r>
  <r>
    <n v="42"/>
    <s v="No"/>
    <s v="Travel_Frequently"/>
    <n v="458"/>
    <x v="1"/>
    <n v="26"/>
    <n v="5"/>
    <s v="Medical"/>
    <n v="1"/>
    <n v="1242"/>
    <n v="1"/>
    <x v="0"/>
    <n v="60"/>
    <n v="3"/>
    <n v="3"/>
    <x v="7"/>
    <x v="3"/>
    <s v="Married"/>
    <n v="13191"/>
    <n v="23281"/>
    <n v="3"/>
    <s v="Y"/>
    <s v="Yes"/>
    <n v="17"/>
    <n v="3"/>
    <n v="3"/>
    <n v="80"/>
    <n v="0"/>
    <n v="20"/>
    <n v="6"/>
    <n v="3"/>
    <n v="1"/>
    <n v="0"/>
    <n v="0"/>
    <n v="0"/>
    <x v="1"/>
    <x v="0"/>
    <x v="1"/>
  </r>
  <r>
    <n v="35"/>
    <s v="No"/>
    <s v="Non-Travel"/>
    <n v="1212"/>
    <x v="0"/>
    <n v="8"/>
    <n v="2"/>
    <s v="Marketing"/>
    <n v="1"/>
    <n v="1243"/>
    <n v="3"/>
    <x v="0"/>
    <n v="78"/>
    <n v="2"/>
    <n v="3"/>
    <x v="0"/>
    <x v="0"/>
    <s v="Married"/>
    <n v="10377"/>
    <n v="13755"/>
    <n v="4"/>
    <s v="Y"/>
    <s v="Yes"/>
    <n v="11"/>
    <n v="3"/>
    <n v="2"/>
    <n v="80"/>
    <n v="1"/>
    <n v="16"/>
    <n v="6"/>
    <n v="2"/>
    <n v="13"/>
    <n v="2"/>
    <n v="4"/>
    <n v="12"/>
    <x v="1"/>
    <x v="2"/>
    <x v="3"/>
  </r>
  <r>
    <n v="27"/>
    <s v="No"/>
    <s v="Travel_Rarely"/>
    <n v="1103"/>
    <x v="1"/>
    <n v="14"/>
    <n v="3"/>
    <s v="Life Sciences"/>
    <n v="1"/>
    <n v="1244"/>
    <n v="1"/>
    <x v="1"/>
    <n v="42"/>
    <n v="3"/>
    <n v="1"/>
    <x v="1"/>
    <x v="3"/>
    <s v="Married"/>
    <n v="2235"/>
    <n v="14377"/>
    <n v="1"/>
    <s v="Y"/>
    <s v="Yes"/>
    <n v="14"/>
    <n v="3"/>
    <n v="4"/>
    <n v="80"/>
    <n v="2"/>
    <n v="9"/>
    <n v="3"/>
    <n v="2"/>
    <n v="9"/>
    <n v="7"/>
    <n v="6"/>
    <n v="8"/>
    <x v="1"/>
    <x v="2"/>
    <x v="0"/>
  </r>
  <r>
    <n v="54"/>
    <s v="No"/>
    <s v="Travel_Frequently"/>
    <n v="966"/>
    <x v="1"/>
    <n v="1"/>
    <n v="4"/>
    <s v="Life Sciences"/>
    <n v="1"/>
    <n v="1245"/>
    <n v="4"/>
    <x v="0"/>
    <n v="53"/>
    <n v="3"/>
    <n v="3"/>
    <x v="3"/>
    <x v="2"/>
    <s v="Divorced"/>
    <n v="10502"/>
    <n v="9659"/>
    <n v="7"/>
    <s v="Y"/>
    <s v="No"/>
    <n v="17"/>
    <n v="3"/>
    <n v="1"/>
    <n v="80"/>
    <n v="1"/>
    <n v="33"/>
    <n v="2"/>
    <n v="1"/>
    <n v="5"/>
    <n v="4"/>
    <n v="1"/>
    <n v="4"/>
    <x v="1"/>
    <x v="1"/>
    <x v="2"/>
  </r>
  <r>
    <n v="44"/>
    <s v="No"/>
    <s v="Travel_Rarely"/>
    <n v="1117"/>
    <x v="1"/>
    <n v="2"/>
    <n v="1"/>
    <s v="Life Sciences"/>
    <n v="1"/>
    <n v="1246"/>
    <n v="1"/>
    <x v="0"/>
    <n v="72"/>
    <n v="4"/>
    <n v="1"/>
    <x v="1"/>
    <x v="0"/>
    <s v="Married"/>
    <n v="2011"/>
    <n v="19982"/>
    <n v="1"/>
    <s v="Y"/>
    <s v="No"/>
    <n v="13"/>
    <n v="3"/>
    <n v="4"/>
    <n v="80"/>
    <n v="1"/>
    <n v="10"/>
    <n v="5"/>
    <n v="3"/>
    <n v="10"/>
    <n v="5"/>
    <n v="7"/>
    <n v="7"/>
    <x v="1"/>
    <x v="0"/>
    <x v="0"/>
  </r>
  <r>
    <n v="19"/>
    <s v="Yes"/>
    <s v="Non-Travel"/>
    <n v="504"/>
    <x v="1"/>
    <n v="10"/>
    <n v="3"/>
    <s v="Medical"/>
    <n v="1"/>
    <n v="1248"/>
    <n v="1"/>
    <x v="0"/>
    <n v="96"/>
    <n v="2"/>
    <n v="1"/>
    <x v="1"/>
    <x v="1"/>
    <s v="Single"/>
    <n v="1859"/>
    <n v="6148"/>
    <n v="1"/>
    <s v="Y"/>
    <s v="Yes"/>
    <n v="25"/>
    <n v="4"/>
    <n v="2"/>
    <n v="80"/>
    <n v="0"/>
    <n v="1"/>
    <n v="2"/>
    <n v="4"/>
    <n v="1"/>
    <n v="1"/>
    <n v="0"/>
    <n v="0"/>
    <x v="0"/>
    <x v="3"/>
    <x v="1"/>
  </r>
  <r>
    <n v="29"/>
    <s v="No"/>
    <s v="Travel_Rarely"/>
    <n v="1010"/>
    <x v="1"/>
    <n v="1"/>
    <n v="3"/>
    <s v="Life Sciences"/>
    <n v="1"/>
    <n v="1249"/>
    <n v="1"/>
    <x v="0"/>
    <n v="97"/>
    <n v="3"/>
    <n v="1"/>
    <x v="1"/>
    <x v="0"/>
    <s v="Divorced"/>
    <n v="3760"/>
    <n v="5598"/>
    <n v="1"/>
    <s v="Y"/>
    <s v="No"/>
    <n v="15"/>
    <n v="3"/>
    <n v="1"/>
    <n v="80"/>
    <n v="3"/>
    <n v="3"/>
    <n v="5"/>
    <n v="3"/>
    <n v="3"/>
    <n v="2"/>
    <n v="1"/>
    <n v="2"/>
    <x v="1"/>
    <x v="2"/>
    <x v="2"/>
  </r>
  <r>
    <n v="54"/>
    <s v="No"/>
    <s v="Travel_Rarely"/>
    <n v="685"/>
    <x v="1"/>
    <n v="3"/>
    <n v="3"/>
    <s v="Life Sciences"/>
    <n v="1"/>
    <n v="1250"/>
    <n v="4"/>
    <x v="1"/>
    <n v="85"/>
    <n v="3"/>
    <n v="4"/>
    <x v="7"/>
    <x v="0"/>
    <s v="Married"/>
    <n v="17779"/>
    <n v="23474"/>
    <n v="3"/>
    <s v="Y"/>
    <s v="No"/>
    <n v="14"/>
    <n v="3"/>
    <n v="1"/>
    <n v="80"/>
    <n v="0"/>
    <n v="36"/>
    <n v="2"/>
    <n v="3"/>
    <n v="10"/>
    <n v="9"/>
    <n v="0"/>
    <n v="9"/>
    <x v="1"/>
    <x v="1"/>
    <x v="0"/>
  </r>
  <r>
    <n v="31"/>
    <s v="No"/>
    <s v="Travel_Rarely"/>
    <n v="1332"/>
    <x v="1"/>
    <n v="11"/>
    <n v="2"/>
    <s v="Medical"/>
    <n v="1"/>
    <n v="1251"/>
    <n v="3"/>
    <x v="1"/>
    <n v="80"/>
    <n v="3"/>
    <n v="2"/>
    <x v="4"/>
    <x v="3"/>
    <s v="Married"/>
    <n v="6833"/>
    <n v="17089"/>
    <n v="1"/>
    <s v="Y"/>
    <s v="Yes"/>
    <n v="12"/>
    <n v="3"/>
    <n v="4"/>
    <n v="80"/>
    <n v="0"/>
    <n v="6"/>
    <n v="2"/>
    <n v="2"/>
    <n v="6"/>
    <n v="5"/>
    <n v="0"/>
    <n v="1"/>
    <x v="1"/>
    <x v="2"/>
    <x v="0"/>
  </r>
  <r>
    <n v="31"/>
    <s v="No"/>
    <s v="Travel_Rarely"/>
    <n v="1062"/>
    <x v="1"/>
    <n v="24"/>
    <n v="3"/>
    <s v="Medical"/>
    <n v="1"/>
    <n v="1252"/>
    <n v="3"/>
    <x v="0"/>
    <n v="96"/>
    <n v="2"/>
    <n v="2"/>
    <x v="4"/>
    <x v="3"/>
    <s v="Single"/>
    <n v="6812"/>
    <n v="17198"/>
    <n v="1"/>
    <s v="Y"/>
    <s v="No"/>
    <n v="19"/>
    <n v="3"/>
    <n v="2"/>
    <n v="80"/>
    <n v="0"/>
    <n v="10"/>
    <n v="2"/>
    <n v="3"/>
    <n v="10"/>
    <n v="9"/>
    <n v="1"/>
    <n v="8"/>
    <x v="1"/>
    <x v="2"/>
    <x v="0"/>
  </r>
  <r>
    <n v="59"/>
    <s v="No"/>
    <s v="Travel_Rarely"/>
    <n v="326"/>
    <x v="0"/>
    <n v="3"/>
    <n v="3"/>
    <s v="Life Sciences"/>
    <n v="1"/>
    <n v="1254"/>
    <n v="3"/>
    <x v="0"/>
    <n v="48"/>
    <n v="2"/>
    <n v="2"/>
    <x v="0"/>
    <x v="0"/>
    <s v="Single"/>
    <n v="5171"/>
    <n v="16490"/>
    <n v="5"/>
    <s v="Y"/>
    <s v="No"/>
    <n v="17"/>
    <n v="3"/>
    <n v="4"/>
    <n v="80"/>
    <n v="0"/>
    <n v="13"/>
    <n v="2"/>
    <n v="3"/>
    <n v="6"/>
    <n v="1"/>
    <n v="0"/>
    <n v="5"/>
    <x v="1"/>
    <x v="1"/>
    <x v="0"/>
  </r>
  <r>
    <n v="43"/>
    <s v="No"/>
    <s v="Travel_Rarely"/>
    <n v="920"/>
    <x v="1"/>
    <n v="3"/>
    <n v="3"/>
    <s v="Life Sciences"/>
    <n v="1"/>
    <n v="1255"/>
    <n v="3"/>
    <x v="1"/>
    <n v="96"/>
    <n v="1"/>
    <n v="5"/>
    <x v="7"/>
    <x v="0"/>
    <s v="Married"/>
    <n v="19740"/>
    <n v="18625"/>
    <n v="3"/>
    <s v="Y"/>
    <s v="No"/>
    <n v="14"/>
    <n v="3"/>
    <n v="2"/>
    <n v="80"/>
    <n v="1"/>
    <n v="25"/>
    <n v="2"/>
    <n v="3"/>
    <n v="8"/>
    <n v="7"/>
    <n v="0"/>
    <n v="7"/>
    <x v="1"/>
    <x v="0"/>
    <x v="0"/>
  </r>
  <r>
    <n v="49"/>
    <s v="No"/>
    <s v="Travel_Rarely"/>
    <n v="1098"/>
    <x v="1"/>
    <n v="4"/>
    <n v="2"/>
    <s v="Medical"/>
    <n v="1"/>
    <n v="1256"/>
    <n v="1"/>
    <x v="1"/>
    <n v="85"/>
    <n v="2"/>
    <n v="5"/>
    <x v="5"/>
    <x v="2"/>
    <s v="Married"/>
    <n v="18711"/>
    <n v="12124"/>
    <n v="2"/>
    <s v="Y"/>
    <s v="No"/>
    <n v="13"/>
    <n v="3"/>
    <n v="3"/>
    <n v="80"/>
    <n v="1"/>
    <n v="23"/>
    <n v="2"/>
    <n v="4"/>
    <n v="1"/>
    <n v="0"/>
    <n v="0"/>
    <n v="0"/>
    <x v="1"/>
    <x v="1"/>
    <x v="1"/>
  </r>
  <r>
    <n v="36"/>
    <s v="No"/>
    <s v="Travel_Frequently"/>
    <n v="469"/>
    <x v="1"/>
    <n v="3"/>
    <n v="3"/>
    <s v="Technical Degree"/>
    <n v="1"/>
    <n v="1257"/>
    <n v="3"/>
    <x v="1"/>
    <n v="46"/>
    <n v="3"/>
    <n v="1"/>
    <x v="1"/>
    <x v="1"/>
    <s v="Married"/>
    <n v="3692"/>
    <n v="9256"/>
    <n v="1"/>
    <s v="Y"/>
    <s v="No"/>
    <n v="12"/>
    <n v="3"/>
    <n v="3"/>
    <n v="80"/>
    <n v="0"/>
    <n v="12"/>
    <n v="2"/>
    <n v="2"/>
    <n v="11"/>
    <n v="10"/>
    <n v="0"/>
    <n v="7"/>
    <x v="1"/>
    <x v="0"/>
    <x v="3"/>
  </r>
  <r>
    <n v="48"/>
    <s v="No"/>
    <s v="Travel_Rarely"/>
    <n v="969"/>
    <x v="1"/>
    <n v="2"/>
    <n v="2"/>
    <s v="Technical Degree"/>
    <n v="1"/>
    <n v="1258"/>
    <n v="4"/>
    <x v="1"/>
    <n v="76"/>
    <n v="4"/>
    <n v="1"/>
    <x v="2"/>
    <x v="1"/>
    <s v="Single"/>
    <n v="2559"/>
    <n v="16620"/>
    <n v="5"/>
    <s v="Y"/>
    <s v="No"/>
    <n v="11"/>
    <n v="3"/>
    <n v="3"/>
    <n v="80"/>
    <n v="0"/>
    <n v="7"/>
    <n v="4"/>
    <n v="2"/>
    <n v="1"/>
    <n v="0"/>
    <n v="0"/>
    <n v="0"/>
    <x v="1"/>
    <x v="1"/>
    <x v="1"/>
  </r>
  <r>
    <n v="27"/>
    <s v="No"/>
    <s v="Travel_Rarely"/>
    <n v="1167"/>
    <x v="1"/>
    <n v="4"/>
    <n v="2"/>
    <s v="Life Sciences"/>
    <n v="1"/>
    <n v="1259"/>
    <n v="1"/>
    <x v="1"/>
    <n v="76"/>
    <n v="3"/>
    <n v="1"/>
    <x v="1"/>
    <x v="2"/>
    <s v="Divorced"/>
    <n v="2517"/>
    <n v="3208"/>
    <n v="1"/>
    <s v="Y"/>
    <s v="No"/>
    <n v="11"/>
    <n v="3"/>
    <n v="2"/>
    <n v="80"/>
    <n v="3"/>
    <n v="5"/>
    <n v="2"/>
    <n v="3"/>
    <n v="5"/>
    <n v="3"/>
    <n v="0"/>
    <n v="3"/>
    <x v="1"/>
    <x v="2"/>
    <x v="2"/>
  </r>
  <r>
    <n v="29"/>
    <s v="No"/>
    <s v="Travel_Rarely"/>
    <n v="1329"/>
    <x v="1"/>
    <n v="7"/>
    <n v="3"/>
    <s v="Life Sciences"/>
    <n v="1"/>
    <n v="1260"/>
    <n v="3"/>
    <x v="1"/>
    <n v="82"/>
    <n v="3"/>
    <n v="2"/>
    <x v="4"/>
    <x v="0"/>
    <s v="Divorced"/>
    <n v="6623"/>
    <n v="4204"/>
    <n v="1"/>
    <s v="Y"/>
    <s v="Yes"/>
    <n v="11"/>
    <n v="3"/>
    <n v="2"/>
    <n v="80"/>
    <n v="2"/>
    <n v="6"/>
    <n v="2"/>
    <n v="3"/>
    <n v="6"/>
    <n v="0"/>
    <n v="1"/>
    <n v="0"/>
    <x v="1"/>
    <x v="2"/>
    <x v="0"/>
  </r>
  <r>
    <n v="48"/>
    <s v="No"/>
    <s v="Travel_Rarely"/>
    <n v="715"/>
    <x v="1"/>
    <n v="1"/>
    <n v="3"/>
    <s v="Life Sciences"/>
    <n v="1"/>
    <n v="1263"/>
    <n v="4"/>
    <x v="1"/>
    <n v="76"/>
    <n v="2"/>
    <n v="5"/>
    <x v="7"/>
    <x v="0"/>
    <s v="Single"/>
    <n v="18265"/>
    <n v="8733"/>
    <n v="6"/>
    <s v="Y"/>
    <s v="No"/>
    <n v="12"/>
    <n v="3"/>
    <n v="3"/>
    <n v="80"/>
    <n v="0"/>
    <n v="25"/>
    <n v="3"/>
    <n v="4"/>
    <n v="1"/>
    <n v="0"/>
    <n v="0"/>
    <n v="0"/>
    <x v="1"/>
    <x v="1"/>
    <x v="1"/>
  </r>
  <r>
    <n v="29"/>
    <s v="No"/>
    <s v="Travel_Rarely"/>
    <n v="694"/>
    <x v="1"/>
    <n v="1"/>
    <n v="3"/>
    <s v="Life Sciences"/>
    <n v="1"/>
    <n v="1264"/>
    <n v="4"/>
    <x v="0"/>
    <n v="87"/>
    <n v="2"/>
    <n v="4"/>
    <x v="7"/>
    <x v="0"/>
    <s v="Divorced"/>
    <n v="16124"/>
    <n v="3423"/>
    <n v="3"/>
    <s v="Y"/>
    <s v="No"/>
    <n v="14"/>
    <n v="3"/>
    <n v="2"/>
    <n v="80"/>
    <n v="2"/>
    <n v="9"/>
    <n v="2"/>
    <n v="2"/>
    <n v="7"/>
    <n v="7"/>
    <n v="1"/>
    <n v="7"/>
    <x v="1"/>
    <x v="2"/>
    <x v="0"/>
  </r>
  <r>
    <n v="34"/>
    <s v="No"/>
    <s v="Travel_Rarely"/>
    <n v="1320"/>
    <x v="1"/>
    <n v="20"/>
    <n v="3"/>
    <s v="Technical Degree"/>
    <n v="1"/>
    <n v="1265"/>
    <n v="3"/>
    <x v="0"/>
    <n v="89"/>
    <n v="4"/>
    <n v="1"/>
    <x v="1"/>
    <x v="2"/>
    <s v="Married"/>
    <n v="2585"/>
    <n v="21643"/>
    <n v="0"/>
    <s v="Y"/>
    <s v="No"/>
    <n v="17"/>
    <n v="3"/>
    <n v="4"/>
    <n v="80"/>
    <n v="0"/>
    <n v="2"/>
    <n v="5"/>
    <n v="2"/>
    <n v="1"/>
    <n v="0"/>
    <n v="0"/>
    <n v="0"/>
    <x v="1"/>
    <x v="2"/>
    <x v="1"/>
  </r>
  <r>
    <n v="44"/>
    <s v="No"/>
    <s v="Travel_Rarely"/>
    <n v="1099"/>
    <x v="0"/>
    <n v="5"/>
    <n v="3"/>
    <s v="Marketing"/>
    <n v="1"/>
    <n v="1267"/>
    <n v="2"/>
    <x v="1"/>
    <n v="88"/>
    <n v="3"/>
    <n v="5"/>
    <x v="5"/>
    <x v="1"/>
    <s v="Married"/>
    <n v="18213"/>
    <n v="8751"/>
    <n v="7"/>
    <s v="Y"/>
    <s v="No"/>
    <n v="11"/>
    <n v="3"/>
    <n v="3"/>
    <n v="80"/>
    <n v="1"/>
    <n v="26"/>
    <n v="5"/>
    <n v="3"/>
    <n v="22"/>
    <n v="9"/>
    <n v="3"/>
    <n v="10"/>
    <x v="1"/>
    <x v="0"/>
    <x v="3"/>
  </r>
  <r>
    <n v="33"/>
    <s v="No"/>
    <s v="Travel_Rarely"/>
    <n v="536"/>
    <x v="0"/>
    <n v="10"/>
    <n v="5"/>
    <s v="Marketing"/>
    <n v="1"/>
    <n v="1268"/>
    <n v="4"/>
    <x v="1"/>
    <n v="82"/>
    <n v="4"/>
    <n v="3"/>
    <x v="0"/>
    <x v="2"/>
    <s v="Divorced"/>
    <n v="8380"/>
    <n v="21708"/>
    <n v="0"/>
    <s v="Y"/>
    <s v="Yes"/>
    <n v="14"/>
    <n v="3"/>
    <n v="4"/>
    <n v="80"/>
    <n v="2"/>
    <n v="10"/>
    <n v="3"/>
    <n v="3"/>
    <n v="9"/>
    <n v="8"/>
    <n v="0"/>
    <n v="8"/>
    <x v="1"/>
    <x v="2"/>
    <x v="0"/>
  </r>
  <r>
    <n v="19"/>
    <s v="No"/>
    <s v="Travel_Rarely"/>
    <n v="265"/>
    <x v="1"/>
    <n v="25"/>
    <n v="3"/>
    <s v="Life Sciences"/>
    <n v="1"/>
    <n v="1269"/>
    <n v="2"/>
    <x v="0"/>
    <n v="57"/>
    <n v="4"/>
    <n v="1"/>
    <x v="1"/>
    <x v="0"/>
    <s v="Single"/>
    <n v="2994"/>
    <n v="21221"/>
    <n v="1"/>
    <s v="Y"/>
    <s v="Yes"/>
    <n v="12"/>
    <n v="3"/>
    <n v="4"/>
    <n v="80"/>
    <n v="0"/>
    <n v="1"/>
    <n v="2"/>
    <n v="3"/>
    <n v="1"/>
    <n v="0"/>
    <n v="0"/>
    <n v="1"/>
    <x v="1"/>
    <x v="3"/>
    <x v="1"/>
  </r>
  <r>
    <n v="23"/>
    <s v="No"/>
    <s v="Travel_Rarely"/>
    <n v="373"/>
    <x v="1"/>
    <n v="1"/>
    <n v="2"/>
    <s v="Life Sciences"/>
    <n v="1"/>
    <n v="1270"/>
    <n v="4"/>
    <x v="1"/>
    <n v="47"/>
    <n v="3"/>
    <n v="1"/>
    <x v="1"/>
    <x v="2"/>
    <s v="Married"/>
    <n v="1223"/>
    <n v="16901"/>
    <n v="1"/>
    <s v="Y"/>
    <s v="No"/>
    <n v="22"/>
    <n v="4"/>
    <n v="4"/>
    <n v="80"/>
    <n v="1"/>
    <n v="1"/>
    <n v="2"/>
    <n v="3"/>
    <n v="1"/>
    <n v="0"/>
    <n v="0"/>
    <n v="1"/>
    <x v="1"/>
    <x v="3"/>
    <x v="1"/>
  </r>
  <r>
    <n v="25"/>
    <s v="Yes"/>
    <s v="Travel_Frequently"/>
    <n v="599"/>
    <x v="0"/>
    <n v="24"/>
    <n v="1"/>
    <s v="Life Sciences"/>
    <n v="1"/>
    <n v="1273"/>
    <n v="3"/>
    <x v="1"/>
    <n v="73"/>
    <n v="1"/>
    <n v="1"/>
    <x v="6"/>
    <x v="0"/>
    <s v="Single"/>
    <n v="1118"/>
    <n v="8040"/>
    <n v="1"/>
    <s v="Y"/>
    <s v="Yes"/>
    <n v="14"/>
    <n v="3"/>
    <n v="4"/>
    <n v="80"/>
    <n v="0"/>
    <n v="1"/>
    <n v="4"/>
    <n v="3"/>
    <n v="1"/>
    <n v="0"/>
    <n v="1"/>
    <n v="0"/>
    <x v="0"/>
    <x v="3"/>
    <x v="1"/>
  </r>
  <r>
    <n v="26"/>
    <s v="No"/>
    <s v="Travel_Rarely"/>
    <n v="583"/>
    <x v="1"/>
    <n v="4"/>
    <n v="2"/>
    <s v="Life Sciences"/>
    <n v="1"/>
    <n v="1275"/>
    <n v="3"/>
    <x v="1"/>
    <n v="53"/>
    <n v="3"/>
    <n v="1"/>
    <x v="1"/>
    <x v="0"/>
    <s v="Single"/>
    <n v="2875"/>
    <n v="9973"/>
    <n v="1"/>
    <s v="Y"/>
    <s v="Yes"/>
    <n v="20"/>
    <n v="4"/>
    <n v="2"/>
    <n v="80"/>
    <n v="0"/>
    <n v="8"/>
    <n v="2"/>
    <n v="2"/>
    <n v="8"/>
    <n v="5"/>
    <n v="2"/>
    <n v="2"/>
    <x v="1"/>
    <x v="2"/>
    <x v="0"/>
  </r>
  <r>
    <n v="45"/>
    <s v="Yes"/>
    <s v="Travel_Rarely"/>
    <n v="1449"/>
    <x v="0"/>
    <n v="2"/>
    <n v="3"/>
    <s v="Marketing"/>
    <n v="1"/>
    <n v="1277"/>
    <n v="1"/>
    <x v="0"/>
    <n v="94"/>
    <n v="1"/>
    <n v="5"/>
    <x v="5"/>
    <x v="1"/>
    <s v="Single"/>
    <n v="18824"/>
    <n v="2493"/>
    <n v="2"/>
    <s v="Y"/>
    <s v="Yes"/>
    <n v="16"/>
    <n v="3"/>
    <n v="1"/>
    <n v="80"/>
    <n v="0"/>
    <n v="26"/>
    <n v="2"/>
    <n v="3"/>
    <n v="24"/>
    <n v="10"/>
    <n v="1"/>
    <n v="11"/>
    <x v="0"/>
    <x v="0"/>
    <x v="3"/>
  </r>
  <r>
    <n v="55"/>
    <s v="No"/>
    <s v="Non-Travel"/>
    <n v="177"/>
    <x v="1"/>
    <n v="8"/>
    <n v="1"/>
    <s v="Medical"/>
    <n v="1"/>
    <n v="1278"/>
    <n v="4"/>
    <x v="1"/>
    <n v="37"/>
    <n v="2"/>
    <n v="4"/>
    <x v="4"/>
    <x v="1"/>
    <s v="Divorced"/>
    <n v="13577"/>
    <n v="25592"/>
    <n v="1"/>
    <s v="Y"/>
    <s v="Yes"/>
    <n v="15"/>
    <n v="3"/>
    <n v="4"/>
    <n v="80"/>
    <n v="1"/>
    <n v="34"/>
    <n v="3"/>
    <n v="3"/>
    <n v="33"/>
    <n v="9"/>
    <n v="15"/>
    <n v="0"/>
    <x v="1"/>
    <x v="1"/>
    <x v="3"/>
  </r>
  <r>
    <n v="21"/>
    <s v="Yes"/>
    <s v="Travel_Frequently"/>
    <n v="251"/>
    <x v="1"/>
    <n v="10"/>
    <n v="2"/>
    <s v="Life Sciences"/>
    <n v="1"/>
    <n v="1279"/>
    <n v="1"/>
    <x v="0"/>
    <n v="45"/>
    <n v="2"/>
    <n v="1"/>
    <x v="2"/>
    <x v="2"/>
    <s v="Single"/>
    <n v="2625"/>
    <n v="25308"/>
    <n v="1"/>
    <s v="Y"/>
    <s v="No"/>
    <n v="20"/>
    <n v="4"/>
    <n v="3"/>
    <n v="80"/>
    <n v="0"/>
    <n v="2"/>
    <n v="2"/>
    <n v="1"/>
    <n v="2"/>
    <n v="2"/>
    <n v="2"/>
    <n v="2"/>
    <x v="0"/>
    <x v="3"/>
    <x v="1"/>
  </r>
  <r>
    <n v="46"/>
    <s v="No"/>
    <s v="Travel_Rarely"/>
    <n v="168"/>
    <x v="0"/>
    <n v="4"/>
    <n v="2"/>
    <s v="Marketing"/>
    <n v="1"/>
    <n v="1280"/>
    <n v="4"/>
    <x v="0"/>
    <n v="33"/>
    <n v="2"/>
    <n v="5"/>
    <x v="5"/>
    <x v="1"/>
    <s v="Married"/>
    <n v="18789"/>
    <n v="9946"/>
    <n v="2"/>
    <s v="Y"/>
    <s v="No"/>
    <n v="14"/>
    <n v="3"/>
    <n v="3"/>
    <n v="80"/>
    <n v="1"/>
    <n v="26"/>
    <n v="2"/>
    <n v="3"/>
    <n v="11"/>
    <n v="4"/>
    <n v="0"/>
    <n v="8"/>
    <x v="1"/>
    <x v="1"/>
    <x v="3"/>
  </r>
  <r>
    <n v="34"/>
    <s v="No"/>
    <s v="Travel_Rarely"/>
    <n v="131"/>
    <x v="0"/>
    <n v="2"/>
    <n v="3"/>
    <s v="Marketing"/>
    <n v="1"/>
    <n v="1281"/>
    <n v="3"/>
    <x v="0"/>
    <n v="86"/>
    <n v="3"/>
    <n v="2"/>
    <x v="0"/>
    <x v="3"/>
    <s v="Single"/>
    <n v="4538"/>
    <n v="6039"/>
    <n v="0"/>
    <s v="Y"/>
    <s v="Yes"/>
    <n v="12"/>
    <n v="3"/>
    <n v="4"/>
    <n v="80"/>
    <n v="0"/>
    <n v="4"/>
    <n v="3"/>
    <n v="3"/>
    <n v="3"/>
    <n v="2"/>
    <n v="0"/>
    <n v="2"/>
    <x v="1"/>
    <x v="2"/>
    <x v="2"/>
  </r>
  <r>
    <n v="51"/>
    <s v="No"/>
    <s v="Travel_Frequently"/>
    <n v="237"/>
    <x v="0"/>
    <n v="9"/>
    <n v="3"/>
    <s v="Life Sciences"/>
    <n v="1"/>
    <n v="1282"/>
    <n v="4"/>
    <x v="1"/>
    <n v="83"/>
    <n v="3"/>
    <n v="5"/>
    <x v="5"/>
    <x v="1"/>
    <s v="Divorced"/>
    <n v="19847"/>
    <n v="19196"/>
    <n v="4"/>
    <s v="Y"/>
    <s v="Yes"/>
    <n v="24"/>
    <n v="4"/>
    <n v="1"/>
    <n v="80"/>
    <n v="1"/>
    <n v="31"/>
    <n v="5"/>
    <n v="2"/>
    <n v="29"/>
    <n v="10"/>
    <n v="11"/>
    <n v="10"/>
    <x v="1"/>
    <x v="1"/>
    <x v="3"/>
  </r>
  <r>
    <n v="59"/>
    <s v="No"/>
    <s v="Travel_Rarely"/>
    <n v="1429"/>
    <x v="1"/>
    <n v="18"/>
    <n v="4"/>
    <s v="Medical"/>
    <n v="1"/>
    <n v="1283"/>
    <n v="4"/>
    <x v="1"/>
    <n v="67"/>
    <n v="3"/>
    <n v="3"/>
    <x v="3"/>
    <x v="0"/>
    <s v="Single"/>
    <n v="10512"/>
    <n v="20002"/>
    <n v="6"/>
    <s v="Y"/>
    <s v="No"/>
    <n v="12"/>
    <n v="3"/>
    <n v="4"/>
    <n v="80"/>
    <n v="0"/>
    <n v="25"/>
    <n v="6"/>
    <n v="2"/>
    <n v="9"/>
    <n v="7"/>
    <n v="5"/>
    <n v="4"/>
    <x v="1"/>
    <x v="1"/>
    <x v="0"/>
  </r>
  <r>
    <n v="34"/>
    <s v="No"/>
    <s v="Travel_Frequently"/>
    <n v="135"/>
    <x v="1"/>
    <n v="19"/>
    <n v="3"/>
    <s v="Medical"/>
    <n v="1"/>
    <n v="1285"/>
    <n v="3"/>
    <x v="0"/>
    <n v="46"/>
    <n v="3"/>
    <n v="2"/>
    <x v="2"/>
    <x v="1"/>
    <s v="Divorced"/>
    <n v="4444"/>
    <n v="22534"/>
    <n v="4"/>
    <s v="Y"/>
    <s v="No"/>
    <n v="13"/>
    <n v="3"/>
    <n v="3"/>
    <n v="80"/>
    <n v="2"/>
    <n v="15"/>
    <n v="2"/>
    <n v="4"/>
    <n v="11"/>
    <n v="8"/>
    <n v="5"/>
    <n v="10"/>
    <x v="1"/>
    <x v="2"/>
    <x v="3"/>
  </r>
  <r>
    <n v="28"/>
    <s v="No"/>
    <s v="Travel_Frequently"/>
    <n v="791"/>
    <x v="1"/>
    <n v="1"/>
    <n v="4"/>
    <s v="Medical"/>
    <n v="1"/>
    <n v="1286"/>
    <n v="4"/>
    <x v="1"/>
    <n v="44"/>
    <n v="3"/>
    <n v="1"/>
    <x v="2"/>
    <x v="2"/>
    <s v="Single"/>
    <n v="2154"/>
    <n v="6842"/>
    <n v="0"/>
    <s v="Y"/>
    <s v="Yes"/>
    <n v="11"/>
    <n v="3"/>
    <n v="3"/>
    <n v="80"/>
    <n v="0"/>
    <n v="5"/>
    <n v="2"/>
    <n v="2"/>
    <n v="4"/>
    <n v="2"/>
    <n v="0"/>
    <n v="2"/>
    <x v="1"/>
    <x v="2"/>
    <x v="2"/>
  </r>
  <r>
    <n v="44"/>
    <s v="No"/>
    <s v="Travel_Rarely"/>
    <n v="1199"/>
    <x v="1"/>
    <n v="4"/>
    <n v="2"/>
    <s v="Life Sciences"/>
    <n v="1"/>
    <n v="1288"/>
    <n v="3"/>
    <x v="1"/>
    <n v="92"/>
    <n v="4"/>
    <n v="5"/>
    <x v="5"/>
    <x v="3"/>
    <s v="Divorced"/>
    <n v="19190"/>
    <n v="17477"/>
    <n v="1"/>
    <s v="Y"/>
    <s v="No"/>
    <n v="14"/>
    <n v="3"/>
    <n v="4"/>
    <n v="80"/>
    <n v="2"/>
    <n v="26"/>
    <n v="4"/>
    <n v="2"/>
    <n v="25"/>
    <n v="9"/>
    <n v="14"/>
    <n v="13"/>
    <x v="1"/>
    <x v="0"/>
    <x v="3"/>
  </r>
  <r>
    <n v="34"/>
    <s v="No"/>
    <s v="Travel_Frequently"/>
    <n v="648"/>
    <x v="2"/>
    <n v="11"/>
    <n v="3"/>
    <s v="Life Sciences"/>
    <n v="1"/>
    <n v="1289"/>
    <n v="3"/>
    <x v="1"/>
    <n v="56"/>
    <n v="2"/>
    <n v="2"/>
    <x v="8"/>
    <x v="1"/>
    <s v="Married"/>
    <n v="4490"/>
    <n v="21833"/>
    <n v="4"/>
    <s v="Y"/>
    <s v="No"/>
    <n v="11"/>
    <n v="3"/>
    <n v="4"/>
    <n v="80"/>
    <n v="2"/>
    <n v="14"/>
    <n v="5"/>
    <n v="4"/>
    <n v="10"/>
    <n v="9"/>
    <n v="1"/>
    <n v="8"/>
    <x v="1"/>
    <x v="2"/>
    <x v="0"/>
  </r>
  <r>
    <n v="35"/>
    <s v="No"/>
    <s v="Travel_Rarely"/>
    <n v="735"/>
    <x v="1"/>
    <n v="6"/>
    <n v="1"/>
    <s v="Life Sciences"/>
    <n v="1"/>
    <n v="1291"/>
    <n v="3"/>
    <x v="1"/>
    <n v="66"/>
    <n v="3"/>
    <n v="1"/>
    <x v="1"/>
    <x v="2"/>
    <s v="Married"/>
    <n v="3506"/>
    <n v="6020"/>
    <n v="0"/>
    <s v="Y"/>
    <s v="Yes"/>
    <n v="14"/>
    <n v="3"/>
    <n v="4"/>
    <n v="80"/>
    <n v="0"/>
    <n v="4"/>
    <n v="3"/>
    <n v="3"/>
    <n v="3"/>
    <n v="2"/>
    <n v="2"/>
    <n v="2"/>
    <x v="1"/>
    <x v="2"/>
    <x v="2"/>
  </r>
  <r>
    <n v="42"/>
    <s v="No"/>
    <s v="Travel_Rarely"/>
    <n v="603"/>
    <x v="1"/>
    <n v="7"/>
    <n v="4"/>
    <s v="Medical"/>
    <n v="1"/>
    <n v="1292"/>
    <n v="2"/>
    <x v="0"/>
    <n v="78"/>
    <n v="4"/>
    <n v="2"/>
    <x v="1"/>
    <x v="1"/>
    <s v="Married"/>
    <n v="2372"/>
    <n v="5628"/>
    <n v="6"/>
    <s v="Y"/>
    <s v="Yes"/>
    <n v="16"/>
    <n v="3"/>
    <n v="4"/>
    <n v="80"/>
    <n v="0"/>
    <n v="18"/>
    <n v="2"/>
    <n v="3"/>
    <n v="1"/>
    <n v="0"/>
    <n v="0"/>
    <n v="0"/>
    <x v="1"/>
    <x v="0"/>
    <x v="1"/>
  </r>
  <r>
    <n v="43"/>
    <s v="No"/>
    <s v="Travel_Rarely"/>
    <n v="531"/>
    <x v="0"/>
    <n v="4"/>
    <n v="4"/>
    <s v="Marketing"/>
    <n v="1"/>
    <n v="1293"/>
    <n v="4"/>
    <x v="0"/>
    <n v="56"/>
    <n v="2"/>
    <n v="3"/>
    <x v="0"/>
    <x v="0"/>
    <s v="Single"/>
    <n v="10231"/>
    <n v="20364"/>
    <n v="3"/>
    <s v="Y"/>
    <s v="No"/>
    <n v="14"/>
    <n v="3"/>
    <n v="4"/>
    <n v="80"/>
    <n v="0"/>
    <n v="23"/>
    <n v="3"/>
    <n v="4"/>
    <n v="21"/>
    <n v="7"/>
    <n v="15"/>
    <n v="17"/>
    <x v="1"/>
    <x v="0"/>
    <x v="3"/>
  </r>
  <r>
    <n v="36"/>
    <s v="No"/>
    <s v="Travel_Rarely"/>
    <n v="429"/>
    <x v="1"/>
    <n v="2"/>
    <n v="4"/>
    <s v="Life Sciences"/>
    <n v="1"/>
    <n v="1294"/>
    <n v="3"/>
    <x v="0"/>
    <n v="53"/>
    <n v="3"/>
    <n v="2"/>
    <x v="3"/>
    <x v="1"/>
    <s v="Single"/>
    <n v="5410"/>
    <n v="2323"/>
    <n v="9"/>
    <s v="Y"/>
    <s v="Yes"/>
    <n v="11"/>
    <n v="3"/>
    <n v="4"/>
    <n v="80"/>
    <n v="0"/>
    <n v="18"/>
    <n v="2"/>
    <n v="3"/>
    <n v="16"/>
    <n v="14"/>
    <n v="5"/>
    <n v="12"/>
    <x v="1"/>
    <x v="0"/>
    <x v="3"/>
  </r>
  <r>
    <n v="44"/>
    <s v="Yes"/>
    <s v="Travel_Rarely"/>
    <n v="621"/>
    <x v="1"/>
    <n v="15"/>
    <n v="3"/>
    <s v="Medical"/>
    <n v="1"/>
    <n v="1295"/>
    <n v="1"/>
    <x v="0"/>
    <n v="73"/>
    <n v="3"/>
    <n v="3"/>
    <x v="4"/>
    <x v="0"/>
    <s v="Married"/>
    <n v="7978"/>
    <n v="14075"/>
    <n v="1"/>
    <s v="Y"/>
    <s v="No"/>
    <n v="11"/>
    <n v="3"/>
    <n v="4"/>
    <n v="80"/>
    <n v="1"/>
    <n v="10"/>
    <n v="2"/>
    <n v="3"/>
    <n v="10"/>
    <n v="7"/>
    <n v="0"/>
    <n v="5"/>
    <x v="0"/>
    <x v="0"/>
    <x v="0"/>
  </r>
  <r>
    <n v="28"/>
    <s v="No"/>
    <s v="Travel_Frequently"/>
    <n v="193"/>
    <x v="1"/>
    <n v="2"/>
    <n v="3"/>
    <s v="Life Sciences"/>
    <n v="1"/>
    <n v="1296"/>
    <n v="4"/>
    <x v="1"/>
    <n v="52"/>
    <n v="2"/>
    <n v="1"/>
    <x v="2"/>
    <x v="0"/>
    <s v="Married"/>
    <n v="3867"/>
    <n v="14222"/>
    <n v="1"/>
    <s v="Y"/>
    <s v="Yes"/>
    <n v="12"/>
    <n v="3"/>
    <n v="2"/>
    <n v="80"/>
    <n v="1"/>
    <n v="2"/>
    <n v="2"/>
    <n v="3"/>
    <n v="2"/>
    <n v="2"/>
    <n v="2"/>
    <n v="2"/>
    <x v="1"/>
    <x v="2"/>
    <x v="1"/>
  </r>
  <r>
    <n v="51"/>
    <s v="No"/>
    <s v="Travel_Frequently"/>
    <n v="968"/>
    <x v="1"/>
    <n v="6"/>
    <n v="2"/>
    <s v="Medical"/>
    <n v="1"/>
    <n v="1297"/>
    <n v="2"/>
    <x v="0"/>
    <n v="40"/>
    <n v="2"/>
    <n v="1"/>
    <x v="2"/>
    <x v="2"/>
    <s v="Single"/>
    <n v="2838"/>
    <n v="4257"/>
    <n v="0"/>
    <s v="Y"/>
    <s v="No"/>
    <n v="14"/>
    <n v="3"/>
    <n v="2"/>
    <n v="80"/>
    <n v="0"/>
    <n v="8"/>
    <n v="6"/>
    <n v="2"/>
    <n v="7"/>
    <n v="0"/>
    <n v="7"/>
    <n v="7"/>
    <x v="1"/>
    <x v="1"/>
    <x v="0"/>
  </r>
  <r>
    <n v="30"/>
    <s v="No"/>
    <s v="Non-Travel"/>
    <n v="879"/>
    <x v="1"/>
    <n v="9"/>
    <n v="2"/>
    <s v="Medical"/>
    <n v="1"/>
    <n v="1298"/>
    <n v="3"/>
    <x v="0"/>
    <n v="72"/>
    <n v="3"/>
    <n v="2"/>
    <x v="3"/>
    <x v="2"/>
    <s v="Single"/>
    <n v="4695"/>
    <n v="12858"/>
    <n v="7"/>
    <s v="Y"/>
    <s v="Yes"/>
    <n v="18"/>
    <n v="3"/>
    <n v="3"/>
    <n v="80"/>
    <n v="0"/>
    <n v="10"/>
    <n v="3"/>
    <n v="3"/>
    <n v="8"/>
    <n v="4"/>
    <n v="1"/>
    <n v="7"/>
    <x v="1"/>
    <x v="2"/>
    <x v="0"/>
  </r>
  <r>
    <n v="29"/>
    <s v="Yes"/>
    <s v="Travel_Rarely"/>
    <n v="806"/>
    <x v="1"/>
    <n v="7"/>
    <n v="3"/>
    <s v="Technical Degree"/>
    <n v="1"/>
    <n v="1299"/>
    <n v="2"/>
    <x v="0"/>
    <n v="39"/>
    <n v="3"/>
    <n v="1"/>
    <x v="2"/>
    <x v="2"/>
    <s v="Divorced"/>
    <n v="3339"/>
    <n v="17285"/>
    <n v="3"/>
    <s v="Y"/>
    <s v="Yes"/>
    <n v="13"/>
    <n v="3"/>
    <n v="1"/>
    <n v="80"/>
    <n v="2"/>
    <n v="10"/>
    <n v="2"/>
    <n v="3"/>
    <n v="7"/>
    <n v="7"/>
    <n v="7"/>
    <n v="7"/>
    <x v="0"/>
    <x v="2"/>
    <x v="0"/>
  </r>
  <r>
    <n v="28"/>
    <s v="No"/>
    <s v="Travel_Rarely"/>
    <n v="640"/>
    <x v="1"/>
    <n v="1"/>
    <n v="3"/>
    <s v="Technical Degree"/>
    <n v="1"/>
    <n v="1301"/>
    <n v="4"/>
    <x v="1"/>
    <n v="84"/>
    <n v="3"/>
    <n v="1"/>
    <x v="1"/>
    <x v="3"/>
    <s v="Single"/>
    <n v="2080"/>
    <n v="4732"/>
    <n v="2"/>
    <s v="Y"/>
    <s v="No"/>
    <n v="11"/>
    <n v="3"/>
    <n v="2"/>
    <n v="80"/>
    <n v="0"/>
    <n v="5"/>
    <n v="2"/>
    <n v="2"/>
    <n v="3"/>
    <n v="2"/>
    <n v="1"/>
    <n v="2"/>
    <x v="1"/>
    <x v="2"/>
    <x v="2"/>
  </r>
  <r>
    <n v="25"/>
    <s v="No"/>
    <s v="Travel_Rarely"/>
    <n v="266"/>
    <x v="1"/>
    <n v="1"/>
    <n v="3"/>
    <s v="Medical"/>
    <n v="1"/>
    <n v="1303"/>
    <n v="4"/>
    <x v="0"/>
    <n v="40"/>
    <n v="3"/>
    <n v="1"/>
    <x v="1"/>
    <x v="1"/>
    <s v="Single"/>
    <n v="2096"/>
    <n v="18830"/>
    <n v="1"/>
    <s v="Y"/>
    <s v="No"/>
    <n v="18"/>
    <n v="3"/>
    <n v="4"/>
    <n v="80"/>
    <n v="0"/>
    <n v="2"/>
    <n v="3"/>
    <n v="2"/>
    <n v="2"/>
    <n v="2"/>
    <n v="2"/>
    <n v="1"/>
    <x v="1"/>
    <x v="3"/>
    <x v="1"/>
  </r>
  <r>
    <n v="32"/>
    <s v="No"/>
    <s v="Travel_Rarely"/>
    <n v="604"/>
    <x v="0"/>
    <n v="8"/>
    <n v="3"/>
    <s v="Medical"/>
    <n v="1"/>
    <n v="1304"/>
    <n v="3"/>
    <x v="1"/>
    <n v="56"/>
    <n v="4"/>
    <n v="2"/>
    <x v="0"/>
    <x v="0"/>
    <s v="Married"/>
    <n v="6209"/>
    <n v="11693"/>
    <n v="1"/>
    <s v="Y"/>
    <s v="No"/>
    <n v="15"/>
    <n v="3"/>
    <n v="3"/>
    <n v="80"/>
    <n v="2"/>
    <n v="10"/>
    <n v="4"/>
    <n v="4"/>
    <n v="10"/>
    <n v="7"/>
    <n v="0"/>
    <n v="8"/>
    <x v="1"/>
    <x v="2"/>
    <x v="0"/>
  </r>
  <r>
    <n v="45"/>
    <s v="No"/>
    <s v="Travel_Frequently"/>
    <n v="364"/>
    <x v="1"/>
    <n v="25"/>
    <n v="3"/>
    <s v="Medical"/>
    <n v="1"/>
    <n v="1306"/>
    <n v="2"/>
    <x v="0"/>
    <n v="83"/>
    <n v="3"/>
    <n v="5"/>
    <x v="5"/>
    <x v="1"/>
    <s v="Single"/>
    <n v="18061"/>
    <n v="13035"/>
    <n v="3"/>
    <s v="Y"/>
    <s v="No"/>
    <n v="22"/>
    <n v="4"/>
    <n v="3"/>
    <n v="80"/>
    <n v="0"/>
    <n v="22"/>
    <n v="4"/>
    <n v="3"/>
    <n v="0"/>
    <n v="0"/>
    <n v="0"/>
    <n v="0"/>
    <x v="1"/>
    <x v="0"/>
    <x v="1"/>
  </r>
  <r>
    <n v="39"/>
    <s v="No"/>
    <s v="Travel_Rarely"/>
    <n v="412"/>
    <x v="1"/>
    <n v="13"/>
    <n v="4"/>
    <s v="Medical"/>
    <n v="1"/>
    <n v="1307"/>
    <n v="3"/>
    <x v="0"/>
    <n v="94"/>
    <n v="2"/>
    <n v="4"/>
    <x v="5"/>
    <x v="1"/>
    <s v="Divorced"/>
    <n v="17123"/>
    <n v="17334"/>
    <n v="6"/>
    <s v="Y"/>
    <s v="Yes"/>
    <n v="13"/>
    <n v="3"/>
    <n v="4"/>
    <n v="80"/>
    <n v="2"/>
    <n v="21"/>
    <n v="4"/>
    <n v="3"/>
    <n v="19"/>
    <n v="9"/>
    <n v="15"/>
    <n v="2"/>
    <x v="1"/>
    <x v="0"/>
    <x v="3"/>
  </r>
  <r>
    <n v="58"/>
    <s v="No"/>
    <s v="Travel_Rarely"/>
    <n v="848"/>
    <x v="1"/>
    <n v="23"/>
    <n v="4"/>
    <s v="Life Sciences"/>
    <n v="1"/>
    <n v="1308"/>
    <n v="1"/>
    <x v="1"/>
    <n v="88"/>
    <n v="3"/>
    <n v="1"/>
    <x v="1"/>
    <x v="2"/>
    <s v="Divorced"/>
    <n v="2372"/>
    <n v="26076"/>
    <n v="1"/>
    <s v="Y"/>
    <s v="No"/>
    <n v="12"/>
    <n v="3"/>
    <n v="4"/>
    <n v="80"/>
    <n v="2"/>
    <n v="2"/>
    <n v="3"/>
    <n v="3"/>
    <n v="2"/>
    <n v="2"/>
    <n v="2"/>
    <n v="2"/>
    <x v="1"/>
    <x v="1"/>
    <x v="1"/>
  </r>
  <r>
    <n v="32"/>
    <s v="Yes"/>
    <s v="Travel_Rarely"/>
    <n v="1089"/>
    <x v="1"/>
    <n v="7"/>
    <n v="2"/>
    <s v="Life Sciences"/>
    <n v="1"/>
    <n v="1309"/>
    <n v="4"/>
    <x v="1"/>
    <n v="79"/>
    <n v="3"/>
    <n v="2"/>
    <x v="2"/>
    <x v="2"/>
    <s v="Married"/>
    <n v="4883"/>
    <n v="22845"/>
    <n v="1"/>
    <s v="Y"/>
    <s v="No"/>
    <n v="18"/>
    <n v="3"/>
    <n v="1"/>
    <n v="80"/>
    <n v="1"/>
    <n v="10"/>
    <n v="3"/>
    <n v="3"/>
    <n v="10"/>
    <n v="4"/>
    <n v="1"/>
    <n v="1"/>
    <x v="0"/>
    <x v="2"/>
    <x v="0"/>
  </r>
  <r>
    <n v="39"/>
    <s v="Yes"/>
    <s v="Travel_Rarely"/>
    <n v="360"/>
    <x v="1"/>
    <n v="23"/>
    <n v="3"/>
    <s v="Medical"/>
    <n v="1"/>
    <n v="1310"/>
    <n v="3"/>
    <x v="1"/>
    <n v="93"/>
    <n v="3"/>
    <n v="1"/>
    <x v="1"/>
    <x v="3"/>
    <s v="Single"/>
    <n v="3904"/>
    <n v="22154"/>
    <n v="0"/>
    <s v="Y"/>
    <s v="No"/>
    <n v="13"/>
    <n v="3"/>
    <n v="1"/>
    <n v="80"/>
    <n v="0"/>
    <n v="6"/>
    <n v="2"/>
    <n v="3"/>
    <n v="5"/>
    <n v="2"/>
    <n v="0"/>
    <n v="3"/>
    <x v="0"/>
    <x v="0"/>
    <x v="2"/>
  </r>
  <r>
    <n v="30"/>
    <s v="No"/>
    <s v="Travel_Rarely"/>
    <n v="1138"/>
    <x v="1"/>
    <n v="6"/>
    <n v="3"/>
    <s v="Technical Degree"/>
    <n v="1"/>
    <n v="1311"/>
    <n v="1"/>
    <x v="0"/>
    <n v="48"/>
    <n v="2"/>
    <n v="2"/>
    <x v="2"/>
    <x v="0"/>
    <s v="Married"/>
    <n v="4627"/>
    <n v="23631"/>
    <n v="0"/>
    <s v="Y"/>
    <s v="No"/>
    <n v="12"/>
    <n v="3"/>
    <n v="1"/>
    <n v="80"/>
    <n v="1"/>
    <n v="10"/>
    <n v="6"/>
    <n v="3"/>
    <n v="9"/>
    <n v="2"/>
    <n v="6"/>
    <n v="7"/>
    <x v="1"/>
    <x v="2"/>
    <x v="0"/>
  </r>
  <r>
    <n v="36"/>
    <s v="No"/>
    <s v="Travel_Rarely"/>
    <n v="325"/>
    <x v="1"/>
    <n v="10"/>
    <n v="4"/>
    <s v="Technical Degree"/>
    <n v="1"/>
    <n v="1312"/>
    <n v="4"/>
    <x v="0"/>
    <n v="63"/>
    <n v="3"/>
    <n v="3"/>
    <x v="4"/>
    <x v="2"/>
    <s v="Married"/>
    <n v="7094"/>
    <n v="5747"/>
    <n v="3"/>
    <s v="Y"/>
    <s v="No"/>
    <n v="12"/>
    <n v="3"/>
    <n v="1"/>
    <n v="80"/>
    <n v="0"/>
    <n v="10"/>
    <n v="0"/>
    <n v="3"/>
    <n v="7"/>
    <n v="7"/>
    <n v="1"/>
    <n v="7"/>
    <x v="1"/>
    <x v="0"/>
    <x v="0"/>
  </r>
  <r>
    <n v="46"/>
    <s v="No"/>
    <s v="Travel_Rarely"/>
    <n v="991"/>
    <x v="2"/>
    <n v="1"/>
    <n v="2"/>
    <s v="Life Sciences"/>
    <n v="1"/>
    <n v="1314"/>
    <n v="4"/>
    <x v="0"/>
    <n v="44"/>
    <n v="3"/>
    <n v="1"/>
    <x v="8"/>
    <x v="3"/>
    <s v="Single"/>
    <n v="3423"/>
    <n v="22957"/>
    <n v="6"/>
    <s v="Y"/>
    <s v="No"/>
    <n v="12"/>
    <n v="3"/>
    <n v="3"/>
    <n v="80"/>
    <n v="0"/>
    <n v="10"/>
    <n v="3"/>
    <n v="4"/>
    <n v="7"/>
    <n v="6"/>
    <n v="5"/>
    <n v="7"/>
    <x v="1"/>
    <x v="1"/>
    <x v="0"/>
  </r>
  <r>
    <n v="28"/>
    <s v="No"/>
    <s v="Non-Travel"/>
    <n v="1476"/>
    <x v="1"/>
    <n v="1"/>
    <n v="3"/>
    <s v="Life Sciences"/>
    <n v="1"/>
    <n v="1315"/>
    <n v="3"/>
    <x v="0"/>
    <n v="55"/>
    <n v="1"/>
    <n v="2"/>
    <x v="2"/>
    <x v="0"/>
    <s v="Married"/>
    <n v="6674"/>
    <n v="16392"/>
    <n v="0"/>
    <s v="Y"/>
    <s v="No"/>
    <n v="11"/>
    <n v="3"/>
    <n v="1"/>
    <n v="80"/>
    <n v="3"/>
    <n v="10"/>
    <n v="6"/>
    <n v="3"/>
    <n v="9"/>
    <n v="8"/>
    <n v="7"/>
    <n v="5"/>
    <x v="1"/>
    <x v="2"/>
    <x v="0"/>
  </r>
  <r>
    <n v="50"/>
    <s v="No"/>
    <s v="Travel_Rarely"/>
    <n v="1322"/>
    <x v="1"/>
    <n v="28"/>
    <n v="3"/>
    <s v="Life Sciences"/>
    <n v="1"/>
    <n v="1317"/>
    <n v="4"/>
    <x v="0"/>
    <n v="43"/>
    <n v="3"/>
    <n v="4"/>
    <x v="7"/>
    <x v="3"/>
    <s v="Married"/>
    <n v="16880"/>
    <n v="22422"/>
    <n v="4"/>
    <s v="Y"/>
    <s v="Yes"/>
    <n v="11"/>
    <n v="3"/>
    <n v="2"/>
    <n v="80"/>
    <n v="0"/>
    <n v="25"/>
    <n v="2"/>
    <n v="3"/>
    <n v="3"/>
    <n v="2"/>
    <n v="1"/>
    <n v="2"/>
    <x v="1"/>
    <x v="1"/>
    <x v="2"/>
  </r>
  <r>
    <n v="40"/>
    <s v="Yes"/>
    <s v="Travel_Rarely"/>
    <n v="299"/>
    <x v="0"/>
    <n v="25"/>
    <n v="4"/>
    <s v="Marketing"/>
    <n v="1"/>
    <n v="1318"/>
    <n v="4"/>
    <x v="1"/>
    <n v="57"/>
    <n v="2"/>
    <n v="3"/>
    <x v="0"/>
    <x v="1"/>
    <s v="Single"/>
    <n v="9094"/>
    <n v="17235"/>
    <n v="2"/>
    <s v="Y"/>
    <s v="Yes"/>
    <n v="12"/>
    <n v="3"/>
    <n v="3"/>
    <n v="80"/>
    <n v="0"/>
    <n v="9"/>
    <n v="2"/>
    <n v="3"/>
    <n v="5"/>
    <n v="4"/>
    <n v="1"/>
    <n v="0"/>
    <x v="0"/>
    <x v="0"/>
    <x v="2"/>
  </r>
  <r>
    <n v="52"/>
    <s v="Yes"/>
    <s v="Travel_Rarely"/>
    <n v="1030"/>
    <x v="0"/>
    <n v="5"/>
    <n v="3"/>
    <s v="Life Sciences"/>
    <n v="1"/>
    <n v="1319"/>
    <n v="2"/>
    <x v="1"/>
    <n v="64"/>
    <n v="3"/>
    <n v="3"/>
    <x v="0"/>
    <x v="1"/>
    <s v="Single"/>
    <n v="8446"/>
    <n v="21534"/>
    <n v="9"/>
    <s v="Y"/>
    <s v="Yes"/>
    <n v="19"/>
    <n v="3"/>
    <n v="3"/>
    <n v="80"/>
    <n v="0"/>
    <n v="10"/>
    <n v="2"/>
    <n v="2"/>
    <n v="8"/>
    <n v="7"/>
    <n v="7"/>
    <n v="7"/>
    <x v="0"/>
    <x v="1"/>
    <x v="0"/>
  </r>
  <r>
    <n v="30"/>
    <s v="No"/>
    <s v="Travel_Rarely"/>
    <n v="634"/>
    <x v="1"/>
    <n v="17"/>
    <n v="4"/>
    <s v="Medical"/>
    <n v="1"/>
    <n v="1321"/>
    <n v="2"/>
    <x v="0"/>
    <n v="95"/>
    <n v="3"/>
    <n v="3"/>
    <x v="5"/>
    <x v="3"/>
    <s v="Married"/>
    <n v="11916"/>
    <n v="25927"/>
    <n v="1"/>
    <s v="Y"/>
    <s v="Yes"/>
    <n v="23"/>
    <n v="4"/>
    <n v="4"/>
    <n v="80"/>
    <n v="2"/>
    <n v="9"/>
    <n v="2"/>
    <n v="3"/>
    <n v="9"/>
    <n v="1"/>
    <n v="0"/>
    <n v="8"/>
    <x v="1"/>
    <x v="2"/>
    <x v="0"/>
  </r>
  <r>
    <n v="39"/>
    <s v="No"/>
    <s v="Travel_Rarely"/>
    <n v="524"/>
    <x v="1"/>
    <n v="18"/>
    <n v="2"/>
    <s v="Life Sciences"/>
    <n v="1"/>
    <n v="1322"/>
    <n v="1"/>
    <x v="1"/>
    <n v="32"/>
    <n v="3"/>
    <n v="2"/>
    <x v="3"/>
    <x v="2"/>
    <s v="Single"/>
    <n v="4534"/>
    <n v="13352"/>
    <n v="0"/>
    <s v="Y"/>
    <s v="No"/>
    <n v="11"/>
    <n v="3"/>
    <n v="1"/>
    <n v="80"/>
    <n v="0"/>
    <n v="9"/>
    <n v="6"/>
    <n v="3"/>
    <n v="8"/>
    <n v="7"/>
    <n v="1"/>
    <n v="7"/>
    <x v="1"/>
    <x v="0"/>
    <x v="0"/>
  </r>
  <r>
    <n v="31"/>
    <s v="No"/>
    <s v="Non-Travel"/>
    <n v="587"/>
    <x v="0"/>
    <n v="2"/>
    <n v="4"/>
    <s v="Life Sciences"/>
    <n v="1"/>
    <n v="1324"/>
    <n v="4"/>
    <x v="0"/>
    <n v="57"/>
    <n v="3"/>
    <n v="3"/>
    <x v="0"/>
    <x v="2"/>
    <s v="Divorced"/>
    <n v="9852"/>
    <n v="8935"/>
    <n v="1"/>
    <s v="Y"/>
    <s v="Yes"/>
    <n v="19"/>
    <n v="3"/>
    <n v="1"/>
    <n v="80"/>
    <n v="1"/>
    <n v="10"/>
    <n v="5"/>
    <n v="2"/>
    <n v="10"/>
    <n v="8"/>
    <n v="9"/>
    <n v="6"/>
    <x v="1"/>
    <x v="2"/>
    <x v="0"/>
  </r>
  <r>
    <n v="41"/>
    <s v="No"/>
    <s v="Non-Travel"/>
    <n v="256"/>
    <x v="0"/>
    <n v="10"/>
    <n v="2"/>
    <s v="Medical"/>
    <n v="1"/>
    <n v="1329"/>
    <n v="3"/>
    <x v="1"/>
    <n v="40"/>
    <n v="1"/>
    <n v="2"/>
    <x v="0"/>
    <x v="1"/>
    <s v="Single"/>
    <n v="6151"/>
    <n v="22074"/>
    <n v="1"/>
    <s v="Y"/>
    <s v="No"/>
    <n v="13"/>
    <n v="3"/>
    <n v="1"/>
    <n v="80"/>
    <n v="0"/>
    <n v="19"/>
    <n v="4"/>
    <n v="3"/>
    <n v="19"/>
    <n v="2"/>
    <n v="11"/>
    <n v="9"/>
    <x v="1"/>
    <x v="0"/>
    <x v="3"/>
  </r>
  <r>
    <n v="31"/>
    <s v="Yes"/>
    <s v="Travel_Frequently"/>
    <n v="1060"/>
    <x v="0"/>
    <n v="1"/>
    <n v="3"/>
    <s v="Life Sciences"/>
    <n v="1"/>
    <n v="1331"/>
    <n v="4"/>
    <x v="0"/>
    <n v="54"/>
    <n v="3"/>
    <n v="1"/>
    <x v="6"/>
    <x v="1"/>
    <s v="Single"/>
    <n v="2302"/>
    <n v="8319"/>
    <n v="1"/>
    <s v="Y"/>
    <s v="Yes"/>
    <n v="11"/>
    <n v="3"/>
    <n v="1"/>
    <n v="80"/>
    <n v="0"/>
    <n v="3"/>
    <n v="2"/>
    <n v="4"/>
    <n v="3"/>
    <n v="2"/>
    <n v="2"/>
    <n v="2"/>
    <x v="0"/>
    <x v="2"/>
    <x v="2"/>
  </r>
  <r>
    <n v="44"/>
    <s v="Yes"/>
    <s v="Travel_Rarely"/>
    <n v="935"/>
    <x v="1"/>
    <n v="3"/>
    <n v="3"/>
    <s v="Life Sciences"/>
    <n v="1"/>
    <n v="1333"/>
    <n v="1"/>
    <x v="1"/>
    <n v="89"/>
    <n v="3"/>
    <n v="1"/>
    <x v="2"/>
    <x v="3"/>
    <s v="Married"/>
    <n v="2362"/>
    <n v="14669"/>
    <n v="4"/>
    <s v="Y"/>
    <s v="No"/>
    <n v="12"/>
    <n v="3"/>
    <n v="3"/>
    <n v="80"/>
    <n v="0"/>
    <n v="10"/>
    <n v="4"/>
    <n v="4"/>
    <n v="3"/>
    <n v="2"/>
    <n v="1"/>
    <n v="2"/>
    <x v="0"/>
    <x v="0"/>
    <x v="2"/>
  </r>
  <r>
    <n v="42"/>
    <s v="No"/>
    <s v="Non-Travel"/>
    <n v="495"/>
    <x v="1"/>
    <n v="2"/>
    <n v="1"/>
    <s v="Life Sciences"/>
    <n v="1"/>
    <n v="1334"/>
    <n v="3"/>
    <x v="1"/>
    <n v="37"/>
    <n v="3"/>
    <n v="4"/>
    <x v="5"/>
    <x v="2"/>
    <s v="Married"/>
    <n v="17861"/>
    <n v="26582"/>
    <n v="0"/>
    <s v="Y"/>
    <s v="Yes"/>
    <n v="13"/>
    <n v="3"/>
    <n v="4"/>
    <n v="80"/>
    <n v="0"/>
    <n v="21"/>
    <n v="3"/>
    <n v="2"/>
    <n v="20"/>
    <n v="8"/>
    <n v="2"/>
    <n v="10"/>
    <x v="1"/>
    <x v="0"/>
    <x v="3"/>
  </r>
  <r>
    <n v="55"/>
    <s v="No"/>
    <s v="Travel_Rarely"/>
    <n v="282"/>
    <x v="1"/>
    <n v="2"/>
    <n v="2"/>
    <s v="Medical"/>
    <n v="1"/>
    <n v="1336"/>
    <n v="4"/>
    <x v="0"/>
    <n v="58"/>
    <n v="1"/>
    <n v="5"/>
    <x v="5"/>
    <x v="2"/>
    <s v="Married"/>
    <n v="19187"/>
    <n v="6992"/>
    <n v="4"/>
    <s v="Y"/>
    <s v="No"/>
    <n v="14"/>
    <n v="3"/>
    <n v="4"/>
    <n v="80"/>
    <n v="1"/>
    <n v="23"/>
    <n v="5"/>
    <n v="3"/>
    <n v="19"/>
    <n v="9"/>
    <n v="9"/>
    <n v="11"/>
    <x v="1"/>
    <x v="1"/>
    <x v="3"/>
  </r>
  <r>
    <n v="56"/>
    <s v="No"/>
    <s v="Travel_Rarely"/>
    <n v="206"/>
    <x v="2"/>
    <n v="8"/>
    <n v="4"/>
    <s v="Life Sciences"/>
    <n v="1"/>
    <n v="1338"/>
    <n v="4"/>
    <x v="1"/>
    <n v="99"/>
    <n v="3"/>
    <n v="5"/>
    <x v="5"/>
    <x v="1"/>
    <s v="Single"/>
    <n v="19717"/>
    <n v="4022"/>
    <n v="6"/>
    <s v="Y"/>
    <s v="No"/>
    <n v="14"/>
    <n v="3"/>
    <n v="1"/>
    <n v="80"/>
    <n v="0"/>
    <n v="36"/>
    <n v="4"/>
    <n v="3"/>
    <n v="7"/>
    <n v="3"/>
    <n v="7"/>
    <n v="7"/>
    <x v="1"/>
    <x v="1"/>
    <x v="0"/>
  </r>
  <r>
    <n v="40"/>
    <s v="No"/>
    <s v="Non-Travel"/>
    <n v="458"/>
    <x v="1"/>
    <n v="16"/>
    <n v="2"/>
    <s v="Life Sciences"/>
    <n v="1"/>
    <n v="1340"/>
    <n v="3"/>
    <x v="1"/>
    <n v="74"/>
    <n v="3"/>
    <n v="1"/>
    <x v="1"/>
    <x v="2"/>
    <s v="Divorced"/>
    <n v="3544"/>
    <n v="8532"/>
    <n v="9"/>
    <s v="Y"/>
    <s v="No"/>
    <n v="16"/>
    <n v="3"/>
    <n v="2"/>
    <n v="80"/>
    <n v="1"/>
    <n v="6"/>
    <n v="0"/>
    <n v="3"/>
    <n v="4"/>
    <n v="2"/>
    <n v="0"/>
    <n v="0"/>
    <x v="1"/>
    <x v="0"/>
    <x v="2"/>
  </r>
  <r>
    <n v="34"/>
    <s v="No"/>
    <s v="Travel_Rarely"/>
    <n v="943"/>
    <x v="1"/>
    <n v="9"/>
    <n v="3"/>
    <s v="Life Sciences"/>
    <n v="1"/>
    <n v="1344"/>
    <n v="4"/>
    <x v="1"/>
    <n v="86"/>
    <n v="3"/>
    <n v="3"/>
    <x v="4"/>
    <x v="0"/>
    <s v="Divorced"/>
    <n v="8500"/>
    <n v="5494"/>
    <n v="0"/>
    <s v="Y"/>
    <s v="No"/>
    <n v="11"/>
    <n v="3"/>
    <n v="4"/>
    <n v="80"/>
    <n v="1"/>
    <n v="10"/>
    <n v="0"/>
    <n v="2"/>
    <n v="9"/>
    <n v="7"/>
    <n v="1"/>
    <n v="6"/>
    <x v="1"/>
    <x v="2"/>
    <x v="0"/>
  </r>
  <r>
    <n v="40"/>
    <s v="No"/>
    <s v="Travel_Rarely"/>
    <n v="523"/>
    <x v="1"/>
    <n v="2"/>
    <n v="3"/>
    <s v="Life Sciences"/>
    <n v="1"/>
    <n v="1346"/>
    <n v="3"/>
    <x v="1"/>
    <n v="98"/>
    <n v="3"/>
    <n v="2"/>
    <x v="1"/>
    <x v="0"/>
    <s v="Single"/>
    <n v="4661"/>
    <n v="22455"/>
    <n v="1"/>
    <s v="Y"/>
    <s v="No"/>
    <n v="13"/>
    <n v="3"/>
    <n v="3"/>
    <n v="80"/>
    <n v="0"/>
    <n v="9"/>
    <n v="4"/>
    <n v="3"/>
    <n v="9"/>
    <n v="8"/>
    <n v="8"/>
    <n v="8"/>
    <x v="1"/>
    <x v="0"/>
    <x v="0"/>
  </r>
  <r>
    <n v="41"/>
    <s v="No"/>
    <s v="Travel_Frequently"/>
    <n v="1018"/>
    <x v="0"/>
    <n v="1"/>
    <n v="3"/>
    <s v="Marketing"/>
    <n v="1"/>
    <n v="1349"/>
    <n v="3"/>
    <x v="0"/>
    <n v="66"/>
    <n v="3"/>
    <n v="2"/>
    <x v="0"/>
    <x v="3"/>
    <s v="Divorced"/>
    <n v="4103"/>
    <n v="4297"/>
    <n v="0"/>
    <s v="Y"/>
    <s v="No"/>
    <n v="17"/>
    <n v="3"/>
    <n v="4"/>
    <n v="80"/>
    <n v="1"/>
    <n v="10"/>
    <n v="2"/>
    <n v="3"/>
    <n v="9"/>
    <n v="3"/>
    <n v="1"/>
    <n v="7"/>
    <x v="1"/>
    <x v="0"/>
    <x v="0"/>
  </r>
  <r>
    <n v="35"/>
    <s v="No"/>
    <s v="Travel_Frequently"/>
    <n v="482"/>
    <x v="1"/>
    <n v="4"/>
    <n v="4"/>
    <s v="Life Sciences"/>
    <n v="1"/>
    <n v="1350"/>
    <n v="3"/>
    <x v="1"/>
    <n v="87"/>
    <n v="3"/>
    <n v="2"/>
    <x v="1"/>
    <x v="2"/>
    <s v="Single"/>
    <n v="4249"/>
    <n v="2690"/>
    <n v="1"/>
    <s v="Y"/>
    <s v="Yes"/>
    <n v="11"/>
    <n v="3"/>
    <n v="2"/>
    <n v="80"/>
    <n v="0"/>
    <n v="9"/>
    <n v="3"/>
    <n v="3"/>
    <n v="9"/>
    <n v="6"/>
    <n v="1"/>
    <n v="1"/>
    <x v="1"/>
    <x v="2"/>
    <x v="0"/>
  </r>
  <r>
    <n v="51"/>
    <s v="No"/>
    <s v="Travel_Rarely"/>
    <n v="770"/>
    <x v="2"/>
    <n v="5"/>
    <n v="3"/>
    <s v="Life Sciences"/>
    <n v="1"/>
    <n v="1352"/>
    <n v="3"/>
    <x v="1"/>
    <n v="84"/>
    <n v="3"/>
    <n v="4"/>
    <x v="5"/>
    <x v="1"/>
    <s v="Divorced"/>
    <n v="14026"/>
    <n v="17588"/>
    <n v="1"/>
    <s v="Y"/>
    <s v="Yes"/>
    <n v="11"/>
    <n v="3"/>
    <n v="2"/>
    <n v="80"/>
    <n v="1"/>
    <n v="33"/>
    <n v="2"/>
    <n v="3"/>
    <n v="33"/>
    <n v="9"/>
    <n v="0"/>
    <n v="10"/>
    <x v="1"/>
    <x v="1"/>
    <x v="3"/>
  </r>
  <r>
    <n v="38"/>
    <s v="No"/>
    <s v="Travel_Rarely"/>
    <n v="1009"/>
    <x v="0"/>
    <n v="2"/>
    <n v="2"/>
    <s v="Life Sciences"/>
    <n v="1"/>
    <n v="1355"/>
    <n v="2"/>
    <x v="0"/>
    <n v="31"/>
    <n v="3"/>
    <n v="2"/>
    <x v="0"/>
    <x v="3"/>
    <s v="Divorced"/>
    <n v="6893"/>
    <n v="19461"/>
    <n v="3"/>
    <s v="Y"/>
    <s v="No"/>
    <n v="15"/>
    <n v="3"/>
    <n v="4"/>
    <n v="80"/>
    <n v="1"/>
    <n v="11"/>
    <n v="3"/>
    <n v="3"/>
    <n v="7"/>
    <n v="7"/>
    <n v="1"/>
    <n v="7"/>
    <x v="1"/>
    <x v="0"/>
    <x v="0"/>
  </r>
  <r>
    <n v="34"/>
    <s v="No"/>
    <s v="Travel_Rarely"/>
    <n v="507"/>
    <x v="0"/>
    <n v="15"/>
    <n v="2"/>
    <s v="Medical"/>
    <n v="1"/>
    <n v="1356"/>
    <n v="3"/>
    <x v="0"/>
    <n v="66"/>
    <n v="3"/>
    <n v="2"/>
    <x v="0"/>
    <x v="3"/>
    <s v="Single"/>
    <n v="6125"/>
    <n v="23553"/>
    <n v="1"/>
    <s v="Y"/>
    <s v="No"/>
    <n v="12"/>
    <n v="3"/>
    <n v="4"/>
    <n v="80"/>
    <n v="0"/>
    <n v="10"/>
    <n v="6"/>
    <n v="4"/>
    <n v="10"/>
    <n v="8"/>
    <n v="9"/>
    <n v="6"/>
    <x v="1"/>
    <x v="2"/>
    <x v="0"/>
  </r>
  <r>
    <n v="25"/>
    <s v="No"/>
    <s v="Travel_Rarely"/>
    <n v="882"/>
    <x v="1"/>
    <n v="19"/>
    <n v="1"/>
    <s v="Medical"/>
    <n v="1"/>
    <n v="1358"/>
    <n v="4"/>
    <x v="1"/>
    <n v="67"/>
    <n v="3"/>
    <n v="1"/>
    <x v="2"/>
    <x v="0"/>
    <s v="Married"/>
    <n v="3669"/>
    <n v="9075"/>
    <n v="3"/>
    <s v="Y"/>
    <s v="No"/>
    <n v="11"/>
    <n v="3"/>
    <n v="3"/>
    <n v="80"/>
    <n v="3"/>
    <n v="7"/>
    <n v="6"/>
    <n v="2"/>
    <n v="3"/>
    <n v="2"/>
    <n v="1"/>
    <n v="2"/>
    <x v="1"/>
    <x v="3"/>
    <x v="2"/>
  </r>
  <r>
    <n v="58"/>
    <s v="Yes"/>
    <s v="Travel_Rarely"/>
    <n v="601"/>
    <x v="1"/>
    <n v="7"/>
    <n v="4"/>
    <s v="Medical"/>
    <n v="1"/>
    <n v="1360"/>
    <n v="3"/>
    <x v="0"/>
    <n v="53"/>
    <n v="2"/>
    <n v="3"/>
    <x v="3"/>
    <x v="3"/>
    <s v="Married"/>
    <n v="10008"/>
    <n v="12023"/>
    <n v="7"/>
    <s v="Y"/>
    <s v="Yes"/>
    <n v="14"/>
    <n v="3"/>
    <n v="4"/>
    <n v="80"/>
    <n v="0"/>
    <n v="31"/>
    <n v="0"/>
    <n v="2"/>
    <n v="10"/>
    <n v="9"/>
    <n v="5"/>
    <n v="9"/>
    <x v="0"/>
    <x v="1"/>
    <x v="0"/>
  </r>
  <r>
    <n v="40"/>
    <s v="No"/>
    <s v="Travel_Rarely"/>
    <n v="329"/>
    <x v="1"/>
    <n v="1"/>
    <n v="4"/>
    <s v="Life Sciences"/>
    <n v="1"/>
    <n v="1361"/>
    <n v="2"/>
    <x v="1"/>
    <n v="88"/>
    <n v="3"/>
    <n v="1"/>
    <x v="2"/>
    <x v="1"/>
    <s v="Married"/>
    <n v="2387"/>
    <n v="6762"/>
    <n v="3"/>
    <s v="Y"/>
    <s v="No"/>
    <n v="22"/>
    <n v="4"/>
    <n v="3"/>
    <n v="80"/>
    <n v="1"/>
    <n v="7"/>
    <n v="3"/>
    <n v="3"/>
    <n v="4"/>
    <n v="2"/>
    <n v="0"/>
    <n v="3"/>
    <x v="1"/>
    <x v="0"/>
    <x v="2"/>
  </r>
  <r>
    <n v="36"/>
    <s v="No"/>
    <s v="Travel_Frequently"/>
    <n v="607"/>
    <x v="0"/>
    <n v="7"/>
    <n v="3"/>
    <s v="Marketing"/>
    <n v="1"/>
    <n v="1362"/>
    <n v="1"/>
    <x v="0"/>
    <n v="83"/>
    <n v="4"/>
    <n v="2"/>
    <x v="0"/>
    <x v="3"/>
    <s v="Married"/>
    <n v="4639"/>
    <n v="2261"/>
    <n v="2"/>
    <s v="Y"/>
    <s v="No"/>
    <n v="16"/>
    <n v="3"/>
    <n v="4"/>
    <n v="80"/>
    <n v="1"/>
    <n v="17"/>
    <n v="2"/>
    <n v="2"/>
    <n v="15"/>
    <n v="7"/>
    <n v="6"/>
    <n v="13"/>
    <x v="1"/>
    <x v="0"/>
    <x v="3"/>
  </r>
  <r>
    <n v="48"/>
    <s v="No"/>
    <s v="Travel_Rarely"/>
    <n v="855"/>
    <x v="1"/>
    <n v="4"/>
    <n v="3"/>
    <s v="Life Sciences"/>
    <n v="1"/>
    <n v="1363"/>
    <n v="4"/>
    <x v="1"/>
    <n v="54"/>
    <n v="3"/>
    <n v="3"/>
    <x v="3"/>
    <x v="0"/>
    <s v="Single"/>
    <n v="7898"/>
    <n v="18706"/>
    <n v="1"/>
    <s v="Y"/>
    <s v="No"/>
    <n v="11"/>
    <n v="3"/>
    <n v="3"/>
    <n v="80"/>
    <n v="0"/>
    <n v="11"/>
    <n v="2"/>
    <n v="3"/>
    <n v="10"/>
    <n v="9"/>
    <n v="0"/>
    <n v="8"/>
    <x v="1"/>
    <x v="1"/>
    <x v="0"/>
  </r>
  <r>
    <n v="27"/>
    <s v="No"/>
    <s v="Travel_Rarely"/>
    <n v="1291"/>
    <x v="0"/>
    <n v="11"/>
    <n v="3"/>
    <s v="Medical"/>
    <n v="1"/>
    <n v="1364"/>
    <n v="3"/>
    <x v="0"/>
    <n v="98"/>
    <n v="4"/>
    <n v="1"/>
    <x v="6"/>
    <x v="0"/>
    <s v="Married"/>
    <n v="2534"/>
    <n v="6527"/>
    <n v="8"/>
    <s v="Y"/>
    <s v="No"/>
    <n v="14"/>
    <n v="3"/>
    <n v="2"/>
    <n v="80"/>
    <n v="1"/>
    <n v="5"/>
    <n v="4"/>
    <n v="3"/>
    <n v="1"/>
    <n v="0"/>
    <n v="0"/>
    <n v="0"/>
    <x v="1"/>
    <x v="2"/>
    <x v="1"/>
  </r>
  <r>
    <n v="51"/>
    <s v="No"/>
    <s v="Travel_Rarely"/>
    <n v="1405"/>
    <x v="1"/>
    <n v="11"/>
    <n v="2"/>
    <s v="Technical Degree"/>
    <n v="1"/>
    <n v="1367"/>
    <n v="4"/>
    <x v="0"/>
    <n v="82"/>
    <n v="2"/>
    <n v="4"/>
    <x v="3"/>
    <x v="1"/>
    <s v="Single"/>
    <n v="13142"/>
    <n v="24439"/>
    <n v="3"/>
    <s v="Y"/>
    <s v="No"/>
    <n v="16"/>
    <n v="3"/>
    <n v="2"/>
    <n v="80"/>
    <n v="0"/>
    <n v="29"/>
    <n v="1"/>
    <n v="2"/>
    <n v="5"/>
    <n v="2"/>
    <n v="0"/>
    <n v="3"/>
    <x v="1"/>
    <x v="1"/>
    <x v="2"/>
  </r>
  <r>
    <n v="18"/>
    <s v="No"/>
    <s v="Non-Travel"/>
    <n v="1124"/>
    <x v="1"/>
    <n v="1"/>
    <n v="3"/>
    <s v="Life Sciences"/>
    <n v="1"/>
    <n v="1368"/>
    <n v="4"/>
    <x v="0"/>
    <n v="97"/>
    <n v="3"/>
    <n v="1"/>
    <x v="2"/>
    <x v="0"/>
    <s v="Single"/>
    <n v="1611"/>
    <n v="19305"/>
    <n v="1"/>
    <s v="Y"/>
    <s v="No"/>
    <n v="15"/>
    <n v="3"/>
    <n v="3"/>
    <n v="80"/>
    <n v="0"/>
    <n v="0"/>
    <n v="5"/>
    <n v="4"/>
    <n v="0"/>
    <n v="0"/>
    <n v="0"/>
    <n v="0"/>
    <x v="1"/>
    <x v="3"/>
    <x v="1"/>
  </r>
  <r>
    <n v="35"/>
    <s v="No"/>
    <s v="Travel_Rarely"/>
    <n v="817"/>
    <x v="1"/>
    <n v="1"/>
    <n v="3"/>
    <s v="Medical"/>
    <n v="1"/>
    <n v="1369"/>
    <n v="4"/>
    <x v="0"/>
    <n v="60"/>
    <n v="2"/>
    <n v="2"/>
    <x v="2"/>
    <x v="0"/>
    <s v="Married"/>
    <n v="5363"/>
    <n v="10846"/>
    <n v="0"/>
    <s v="Y"/>
    <s v="No"/>
    <n v="12"/>
    <n v="3"/>
    <n v="2"/>
    <n v="80"/>
    <n v="1"/>
    <n v="10"/>
    <n v="0"/>
    <n v="3"/>
    <n v="9"/>
    <n v="7"/>
    <n v="0"/>
    <n v="0"/>
    <x v="1"/>
    <x v="2"/>
    <x v="0"/>
  </r>
  <r>
    <n v="27"/>
    <s v="No"/>
    <s v="Travel_Frequently"/>
    <n v="793"/>
    <x v="0"/>
    <n v="2"/>
    <n v="1"/>
    <s v="Life Sciences"/>
    <n v="1"/>
    <n v="1371"/>
    <n v="4"/>
    <x v="1"/>
    <n v="43"/>
    <n v="1"/>
    <n v="2"/>
    <x v="0"/>
    <x v="0"/>
    <s v="Single"/>
    <n v="5071"/>
    <n v="20392"/>
    <n v="3"/>
    <s v="Y"/>
    <s v="No"/>
    <n v="20"/>
    <n v="4"/>
    <n v="2"/>
    <n v="80"/>
    <n v="0"/>
    <n v="8"/>
    <n v="3"/>
    <n v="3"/>
    <n v="6"/>
    <n v="2"/>
    <n v="0"/>
    <n v="0"/>
    <x v="1"/>
    <x v="2"/>
    <x v="0"/>
  </r>
  <r>
    <n v="55"/>
    <s v="Yes"/>
    <s v="Travel_Rarely"/>
    <n v="267"/>
    <x v="0"/>
    <n v="13"/>
    <n v="4"/>
    <s v="Marketing"/>
    <n v="1"/>
    <n v="1372"/>
    <n v="1"/>
    <x v="1"/>
    <n v="85"/>
    <n v="4"/>
    <n v="4"/>
    <x v="0"/>
    <x v="2"/>
    <s v="Single"/>
    <n v="13695"/>
    <n v="9277"/>
    <n v="6"/>
    <s v="Y"/>
    <s v="Yes"/>
    <n v="17"/>
    <n v="3"/>
    <n v="3"/>
    <n v="80"/>
    <n v="0"/>
    <n v="24"/>
    <n v="2"/>
    <n v="2"/>
    <n v="19"/>
    <n v="7"/>
    <n v="3"/>
    <n v="8"/>
    <x v="0"/>
    <x v="1"/>
    <x v="3"/>
  </r>
  <r>
    <n v="56"/>
    <s v="No"/>
    <s v="Travel_Rarely"/>
    <n v="1369"/>
    <x v="1"/>
    <n v="23"/>
    <n v="3"/>
    <s v="Life Sciences"/>
    <n v="1"/>
    <n v="1373"/>
    <n v="4"/>
    <x v="1"/>
    <n v="68"/>
    <n v="3"/>
    <n v="4"/>
    <x v="3"/>
    <x v="1"/>
    <s v="Married"/>
    <n v="13402"/>
    <n v="18235"/>
    <n v="4"/>
    <s v="Y"/>
    <s v="Yes"/>
    <n v="12"/>
    <n v="3"/>
    <n v="1"/>
    <n v="80"/>
    <n v="1"/>
    <n v="33"/>
    <n v="0"/>
    <n v="3"/>
    <n v="19"/>
    <n v="16"/>
    <n v="15"/>
    <n v="9"/>
    <x v="1"/>
    <x v="1"/>
    <x v="3"/>
  </r>
  <r>
    <n v="34"/>
    <s v="No"/>
    <s v="Non-Travel"/>
    <n v="999"/>
    <x v="1"/>
    <n v="26"/>
    <n v="1"/>
    <s v="Technical Degree"/>
    <n v="1"/>
    <n v="1374"/>
    <n v="1"/>
    <x v="0"/>
    <n v="92"/>
    <n v="2"/>
    <n v="1"/>
    <x v="1"/>
    <x v="2"/>
    <s v="Divorced"/>
    <n v="2029"/>
    <n v="15891"/>
    <n v="1"/>
    <s v="Y"/>
    <s v="No"/>
    <n v="20"/>
    <n v="4"/>
    <n v="3"/>
    <n v="80"/>
    <n v="3"/>
    <n v="5"/>
    <n v="2"/>
    <n v="3"/>
    <n v="5"/>
    <n v="4"/>
    <n v="0"/>
    <n v="0"/>
    <x v="1"/>
    <x v="2"/>
    <x v="2"/>
  </r>
  <r>
    <n v="40"/>
    <s v="No"/>
    <s v="Travel_Rarely"/>
    <n v="1202"/>
    <x v="1"/>
    <n v="2"/>
    <n v="1"/>
    <s v="Medical"/>
    <n v="1"/>
    <n v="1375"/>
    <n v="2"/>
    <x v="0"/>
    <n v="89"/>
    <n v="4"/>
    <n v="2"/>
    <x v="4"/>
    <x v="2"/>
    <s v="Divorced"/>
    <n v="6377"/>
    <n v="13888"/>
    <n v="5"/>
    <s v="Y"/>
    <s v="No"/>
    <n v="20"/>
    <n v="4"/>
    <n v="2"/>
    <n v="80"/>
    <n v="3"/>
    <n v="15"/>
    <n v="0"/>
    <n v="3"/>
    <n v="12"/>
    <n v="11"/>
    <n v="11"/>
    <n v="8"/>
    <x v="1"/>
    <x v="0"/>
    <x v="3"/>
  </r>
  <r>
    <n v="34"/>
    <s v="No"/>
    <s v="Travel_Rarely"/>
    <n v="285"/>
    <x v="1"/>
    <n v="29"/>
    <n v="3"/>
    <s v="Medical"/>
    <n v="1"/>
    <n v="1377"/>
    <n v="2"/>
    <x v="1"/>
    <n v="86"/>
    <n v="3"/>
    <n v="2"/>
    <x v="2"/>
    <x v="2"/>
    <s v="Married"/>
    <n v="5429"/>
    <n v="17491"/>
    <n v="4"/>
    <s v="Y"/>
    <s v="No"/>
    <n v="13"/>
    <n v="3"/>
    <n v="1"/>
    <n v="80"/>
    <n v="2"/>
    <n v="10"/>
    <n v="1"/>
    <n v="3"/>
    <n v="8"/>
    <n v="7"/>
    <n v="7"/>
    <n v="7"/>
    <x v="1"/>
    <x v="2"/>
    <x v="0"/>
  </r>
  <r>
    <n v="31"/>
    <s v="Yes"/>
    <s v="Travel_Frequently"/>
    <n v="703"/>
    <x v="0"/>
    <n v="2"/>
    <n v="3"/>
    <s v="Life Sciences"/>
    <n v="1"/>
    <n v="1379"/>
    <n v="3"/>
    <x v="0"/>
    <n v="90"/>
    <n v="2"/>
    <n v="1"/>
    <x v="6"/>
    <x v="0"/>
    <s v="Single"/>
    <n v="2785"/>
    <n v="11882"/>
    <n v="7"/>
    <s v="Y"/>
    <s v="No"/>
    <n v="14"/>
    <n v="3"/>
    <n v="3"/>
    <n v="80"/>
    <n v="0"/>
    <n v="3"/>
    <n v="3"/>
    <n v="4"/>
    <n v="1"/>
    <n v="0"/>
    <n v="0"/>
    <n v="0"/>
    <x v="0"/>
    <x v="2"/>
    <x v="1"/>
  </r>
  <r>
    <n v="35"/>
    <s v="Yes"/>
    <s v="Travel_Frequently"/>
    <n v="662"/>
    <x v="0"/>
    <n v="18"/>
    <n v="4"/>
    <s v="Marketing"/>
    <n v="1"/>
    <n v="1380"/>
    <n v="4"/>
    <x v="0"/>
    <n v="67"/>
    <n v="3"/>
    <n v="2"/>
    <x v="0"/>
    <x v="2"/>
    <s v="Married"/>
    <n v="4614"/>
    <n v="23288"/>
    <n v="0"/>
    <s v="Y"/>
    <s v="Yes"/>
    <n v="18"/>
    <n v="3"/>
    <n v="3"/>
    <n v="80"/>
    <n v="1"/>
    <n v="5"/>
    <n v="0"/>
    <n v="2"/>
    <n v="4"/>
    <n v="2"/>
    <n v="3"/>
    <n v="2"/>
    <x v="0"/>
    <x v="2"/>
    <x v="2"/>
  </r>
  <r>
    <n v="38"/>
    <s v="No"/>
    <s v="Travel_Frequently"/>
    <n v="693"/>
    <x v="1"/>
    <n v="7"/>
    <n v="3"/>
    <s v="Life Sciences"/>
    <n v="1"/>
    <n v="1382"/>
    <n v="4"/>
    <x v="1"/>
    <n v="57"/>
    <n v="4"/>
    <n v="1"/>
    <x v="1"/>
    <x v="2"/>
    <s v="Divorced"/>
    <n v="2610"/>
    <n v="15748"/>
    <n v="1"/>
    <s v="Y"/>
    <s v="No"/>
    <n v="11"/>
    <n v="3"/>
    <n v="4"/>
    <n v="80"/>
    <n v="3"/>
    <n v="4"/>
    <n v="2"/>
    <n v="3"/>
    <n v="4"/>
    <n v="2"/>
    <n v="0"/>
    <n v="3"/>
    <x v="1"/>
    <x v="0"/>
    <x v="2"/>
  </r>
  <r>
    <n v="34"/>
    <s v="No"/>
    <s v="Travel_Rarely"/>
    <n v="404"/>
    <x v="1"/>
    <n v="2"/>
    <n v="4"/>
    <s v="Technical Degree"/>
    <n v="1"/>
    <n v="1383"/>
    <n v="3"/>
    <x v="0"/>
    <n v="98"/>
    <n v="3"/>
    <n v="2"/>
    <x v="4"/>
    <x v="0"/>
    <s v="Single"/>
    <n v="6687"/>
    <n v="6163"/>
    <n v="1"/>
    <s v="Y"/>
    <s v="No"/>
    <n v="11"/>
    <n v="3"/>
    <n v="4"/>
    <n v="80"/>
    <n v="0"/>
    <n v="14"/>
    <n v="2"/>
    <n v="4"/>
    <n v="14"/>
    <n v="11"/>
    <n v="4"/>
    <n v="11"/>
    <x v="1"/>
    <x v="2"/>
    <x v="3"/>
  </r>
  <r>
    <n v="28"/>
    <s v="No"/>
    <s v="Travel_Rarely"/>
    <n v="736"/>
    <x v="0"/>
    <n v="26"/>
    <n v="3"/>
    <s v="Life Sciences"/>
    <n v="1"/>
    <n v="1387"/>
    <n v="3"/>
    <x v="1"/>
    <n v="48"/>
    <n v="2"/>
    <n v="2"/>
    <x v="0"/>
    <x v="3"/>
    <s v="Married"/>
    <n v="4724"/>
    <n v="24232"/>
    <n v="1"/>
    <s v="Y"/>
    <s v="No"/>
    <n v="11"/>
    <n v="3"/>
    <n v="3"/>
    <n v="80"/>
    <n v="1"/>
    <n v="5"/>
    <n v="0"/>
    <n v="3"/>
    <n v="5"/>
    <n v="3"/>
    <n v="0"/>
    <n v="4"/>
    <x v="1"/>
    <x v="2"/>
    <x v="2"/>
  </r>
  <r>
    <n v="31"/>
    <s v="Yes"/>
    <s v="Travel_Rarely"/>
    <n v="330"/>
    <x v="1"/>
    <n v="22"/>
    <n v="4"/>
    <s v="Medical"/>
    <n v="1"/>
    <n v="1389"/>
    <n v="4"/>
    <x v="1"/>
    <n v="98"/>
    <n v="3"/>
    <n v="2"/>
    <x v="3"/>
    <x v="2"/>
    <s v="Married"/>
    <n v="6179"/>
    <n v="21057"/>
    <n v="1"/>
    <s v="Y"/>
    <s v="Yes"/>
    <n v="15"/>
    <n v="3"/>
    <n v="4"/>
    <n v="80"/>
    <n v="2"/>
    <n v="10"/>
    <n v="3"/>
    <n v="2"/>
    <n v="10"/>
    <n v="2"/>
    <n v="6"/>
    <n v="7"/>
    <x v="0"/>
    <x v="2"/>
    <x v="0"/>
  </r>
  <r>
    <n v="39"/>
    <s v="No"/>
    <s v="Travel_Rarely"/>
    <n v="1498"/>
    <x v="0"/>
    <n v="21"/>
    <n v="4"/>
    <s v="Life Sciences"/>
    <n v="1"/>
    <n v="1390"/>
    <n v="1"/>
    <x v="1"/>
    <n v="44"/>
    <n v="2"/>
    <n v="2"/>
    <x v="0"/>
    <x v="0"/>
    <s v="Married"/>
    <n v="6120"/>
    <n v="3567"/>
    <n v="3"/>
    <s v="Y"/>
    <s v="Yes"/>
    <n v="12"/>
    <n v="3"/>
    <n v="4"/>
    <n v="80"/>
    <n v="2"/>
    <n v="8"/>
    <n v="2"/>
    <n v="4"/>
    <n v="5"/>
    <n v="4"/>
    <n v="1"/>
    <n v="4"/>
    <x v="1"/>
    <x v="0"/>
    <x v="2"/>
  </r>
  <r>
    <n v="51"/>
    <s v="No"/>
    <s v="Travel_Frequently"/>
    <n v="541"/>
    <x v="0"/>
    <n v="2"/>
    <n v="3"/>
    <s v="Marketing"/>
    <n v="1"/>
    <n v="1391"/>
    <n v="2"/>
    <x v="1"/>
    <n v="52"/>
    <n v="3"/>
    <n v="3"/>
    <x v="0"/>
    <x v="1"/>
    <s v="Married"/>
    <n v="10596"/>
    <n v="15395"/>
    <n v="2"/>
    <s v="Y"/>
    <s v="No"/>
    <n v="11"/>
    <n v="3"/>
    <n v="2"/>
    <n v="80"/>
    <n v="0"/>
    <n v="14"/>
    <n v="5"/>
    <n v="3"/>
    <n v="4"/>
    <n v="2"/>
    <n v="3"/>
    <n v="2"/>
    <x v="1"/>
    <x v="1"/>
    <x v="2"/>
  </r>
  <r>
    <n v="41"/>
    <s v="No"/>
    <s v="Travel_Frequently"/>
    <n v="1200"/>
    <x v="1"/>
    <n v="22"/>
    <n v="3"/>
    <s v="Life Sciences"/>
    <n v="1"/>
    <n v="1392"/>
    <n v="4"/>
    <x v="0"/>
    <n v="75"/>
    <n v="3"/>
    <n v="2"/>
    <x v="1"/>
    <x v="0"/>
    <s v="Divorced"/>
    <n v="5467"/>
    <n v="13953"/>
    <n v="3"/>
    <s v="Y"/>
    <s v="Yes"/>
    <n v="14"/>
    <n v="3"/>
    <n v="1"/>
    <n v="80"/>
    <n v="2"/>
    <n v="12"/>
    <n v="4"/>
    <n v="2"/>
    <n v="6"/>
    <n v="2"/>
    <n v="3"/>
    <n v="3"/>
    <x v="1"/>
    <x v="0"/>
    <x v="0"/>
  </r>
  <r>
    <n v="37"/>
    <s v="No"/>
    <s v="Travel_Rarely"/>
    <n v="1439"/>
    <x v="1"/>
    <n v="4"/>
    <n v="1"/>
    <s v="Life Sciences"/>
    <n v="1"/>
    <n v="1394"/>
    <n v="3"/>
    <x v="1"/>
    <n v="54"/>
    <n v="3"/>
    <n v="1"/>
    <x v="1"/>
    <x v="2"/>
    <s v="Married"/>
    <n v="2996"/>
    <n v="5182"/>
    <n v="7"/>
    <s v="Y"/>
    <s v="Yes"/>
    <n v="15"/>
    <n v="3"/>
    <n v="4"/>
    <n v="80"/>
    <n v="0"/>
    <n v="8"/>
    <n v="2"/>
    <n v="3"/>
    <n v="6"/>
    <n v="4"/>
    <n v="1"/>
    <n v="3"/>
    <x v="1"/>
    <x v="0"/>
    <x v="0"/>
  </r>
  <r>
    <n v="33"/>
    <s v="No"/>
    <s v="Travel_Frequently"/>
    <n v="1111"/>
    <x v="0"/>
    <n v="5"/>
    <n v="1"/>
    <s v="Life Sciences"/>
    <n v="1"/>
    <n v="1395"/>
    <n v="2"/>
    <x v="1"/>
    <n v="61"/>
    <n v="3"/>
    <n v="2"/>
    <x v="0"/>
    <x v="0"/>
    <s v="Married"/>
    <n v="9998"/>
    <n v="19293"/>
    <n v="6"/>
    <s v="Y"/>
    <s v="No"/>
    <n v="13"/>
    <n v="3"/>
    <n v="1"/>
    <n v="80"/>
    <n v="0"/>
    <n v="8"/>
    <n v="2"/>
    <n v="4"/>
    <n v="5"/>
    <n v="4"/>
    <n v="1"/>
    <n v="2"/>
    <x v="1"/>
    <x v="2"/>
    <x v="2"/>
  </r>
  <r>
    <n v="32"/>
    <s v="No"/>
    <s v="Travel_Rarely"/>
    <n v="499"/>
    <x v="0"/>
    <n v="2"/>
    <n v="1"/>
    <s v="Marketing"/>
    <n v="1"/>
    <n v="1396"/>
    <n v="3"/>
    <x v="1"/>
    <n v="36"/>
    <n v="3"/>
    <n v="2"/>
    <x v="0"/>
    <x v="1"/>
    <s v="Married"/>
    <n v="4078"/>
    <n v="20497"/>
    <n v="0"/>
    <s v="Y"/>
    <s v="Yes"/>
    <n v="13"/>
    <n v="3"/>
    <n v="1"/>
    <n v="80"/>
    <n v="3"/>
    <n v="4"/>
    <n v="3"/>
    <n v="2"/>
    <n v="3"/>
    <n v="2"/>
    <n v="1"/>
    <n v="2"/>
    <x v="1"/>
    <x v="2"/>
    <x v="2"/>
  </r>
  <r>
    <n v="39"/>
    <s v="No"/>
    <s v="Non-Travel"/>
    <n v="1485"/>
    <x v="1"/>
    <n v="25"/>
    <n v="2"/>
    <s v="Life Sciences"/>
    <n v="1"/>
    <n v="1397"/>
    <n v="3"/>
    <x v="1"/>
    <n v="71"/>
    <n v="3"/>
    <n v="3"/>
    <x v="4"/>
    <x v="2"/>
    <s v="Married"/>
    <n v="10920"/>
    <n v="3449"/>
    <n v="3"/>
    <s v="Y"/>
    <s v="No"/>
    <n v="21"/>
    <n v="4"/>
    <n v="2"/>
    <n v="80"/>
    <n v="1"/>
    <n v="13"/>
    <n v="2"/>
    <n v="3"/>
    <n v="6"/>
    <n v="4"/>
    <n v="0"/>
    <n v="5"/>
    <x v="1"/>
    <x v="0"/>
    <x v="0"/>
  </r>
  <r>
    <n v="25"/>
    <s v="No"/>
    <s v="Travel_Rarely"/>
    <n v="1372"/>
    <x v="0"/>
    <n v="18"/>
    <n v="1"/>
    <s v="Life Sciences"/>
    <n v="1"/>
    <n v="1399"/>
    <n v="1"/>
    <x v="1"/>
    <n v="93"/>
    <n v="4"/>
    <n v="2"/>
    <x v="0"/>
    <x v="2"/>
    <s v="Married"/>
    <n v="6232"/>
    <n v="12477"/>
    <n v="2"/>
    <s v="Y"/>
    <s v="No"/>
    <n v="11"/>
    <n v="3"/>
    <n v="2"/>
    <n v="80"/>
    <n v="0"/>
    <n v="6"/>
    <n v="3"/>
    <n v="2"/>
    <n v="3"/>
    <n v="2"/>
    <n v="1"/>
    <n v="2"/>
    <x v="1"/>
    <x v="3"/>
    <x v="2"/>
  </r>
  <r>
    <n v="52"/>
    <s v="No"/>
    <s v="Travel_Frequently"/>
    <n v="322"/>
    <x v="1"/>
    <n v="28"/>
    <n v="2"/>
    <s v="Medical"/>
    <n v="1"/>
    <n v="1401"/>
    <n v="4"/>
    <x v="0"/>
    <n v="59"/>
    <n v="4"/>
    <n v="4"/>
    <x v="3"/>
    <x v="2"/>
    <s v="Married"/>
    <n v="13247"/>
    <n v="9731"/>
    <n v="2"/>
    <s v="Y"/>
    <s v="Yes"/>
    <n v="11"/>
    <n v="3"/>
    <n v="2"/>
    <n v="80"/>
    <n v="1"/>
    <n v="24"/>
    <n v="3"/>
    <n v="2"/>
    <n v="5"/>
    <n v="3"/>
    <n v="0"/>
    <n v="2"/>
    <x v="1"/>
    <x v="1"/>
    <x v="2"/>
  </r>
  <r>
    <n v="43"/>
    <s v="No"/>
    <s v="Travel_Rarely"/>
    <n v="930"/>
    <x v="1"/>
    <n v="6"/>
    <n v="3"/>
    <s v="Medical"/>
    <n v="1"/>
    <n v="1402"/>
    <n v="1"/>
    <x v="0"/>
    <n v="73"/>
    <n v="2"/>
    <n v="2"/>
    <x v="1"/>
    <x v="2"/>
    <s v="Single"/>
    <n v="4081"/>
    <n v="20003"/>
    <n v="1"/>
    <s v="Y"/>
    <s v="Yes"/>
    <n v="14"/>
    <n v="3"/>
    <n v="1"/>
    <n v="80"/>
    <n v="0"/>
    <n v="20"/>
    <n v="3"/>
    <n v="1"/>
    <n v="20"/>
    <n v="7"/>
    <n v="1"/>
    <n v="8"/>
    <x v="1"/>
    <x v="0"/>
    <x v="3"/>
  </r>
  <r>
    <n v="27"/>
    <s v="No"/>
    <s v="Travel_Rarely"/>
    <n v="205"/>
    <x v="0"/>
    <n v="10"/>
    <n v="3"/>
    <s v="Marketing"/>
    <n v="1"/>
    <n v="1403"/>
    <n v="4"/>
    <x v="0"/>
    <n v="98"/>
    <n v="2"/>
    <n v="2"/>
    <x v="0"/>
    <x v="0"/>
    <s v="Married"/>
    <n v="5769"/>
    <n v="7100"/>
    <n v="1"/>
    <s v="Y"/>
    <s v="Yes"/>
    <n v="11"/>
    <n v="3"/>
    <n v="4"/>
    <n v="80"/>
    <n v="0"/>
    <n v="6"/>
    <n v="3"/>
    <n v="3"/>
    <n v="6"/>
    <n v="2"/>
    <n v="4"/>
    <n v="4"/>
    <x v="1"/>
    <x v="2"/>
    <x v="0"/>
  </r>
  <r>
    <n v="27"/>
    <s v="Yes"/>
    <s v="Travel_Rarely"/>
    <n v="135"/>
    <x v="1"/>
    <n v="17"/>
    <n v="4"/>
    <s v="Life Sciences"/>
    <n v="1"/>
    <n v="1405"/>
    <n v="4"/>
    <x v="0"/>
    <n v="51"/>
    <n v="3"/>
    <n v="1"/>
    <x v="1"/>
    <x v="2"/>
    <s v="Single"/>
    <n v="2394"/>
    <n v="25681"/>
    <n v="1"/>
    <s v="Y"/>
    <s v="Yes"/>
    <n v="13"/>
    <n v="3"/>
    <n v="4"/>
    <n v="80"/>
    <n v="0"/>
    <n v="8"/>
    <n v="2"/>
    <n v="3"/>
    <n v="8"/>
    <n v="2"/>
    <n v="7"/>
    <n v="7"/>
    <x v="0"/>
    <x v="2"/>
    <x v="0"/>
  </r>
  <r>
    <n v="26"/>
    <s v="No"/>
    <s v="Travel_Rarely"/>
    <n v="683"/>
    <x v="1"/>
    <n v="2"/>
    <n v="1"/>
    <s v="Medical"/>
    <n v="1"/>
    <n v="1407"/>
    <n v="1"/>
    <x v="1"/>
    <n v="36"/>
    <n v="2"/>
    <n v="1"/>
    <x v="1"/>
    <x v="0"/>
    <s v="Single"/>
    <n v="3904"/>
    <n v="4050"/>
    <n v="0"/>
    <s v="Y"/>
    <s v="No"/>
    <n v="12"/>
    <n v="3"/>
    <n v="4"/>
    <n v="80"/>
    <n v="0"/>
    <n v="5"/>
    <n v="2"/>
    <n v="3"/>
    <n v="4"/>
    <n v="3"/>
    <n v="1"/>
    <n v="1"/>
    <x v="1"/>
    <x v="2"/>
    <x v="2"/>
  </r>
  <r>
    <n v="42"/>
    <s v="No"/>
    <s v="Travel_Rarely"/>
    <n v="1147"/>
    <x v="2"/>
    <n v="10"/>
    <n v="3"/>
    <s v="Human Resources"/>
    <n v="1"/>
    <n v="1408"/>
    <n v="3"/>
    <x v="0"/>
    <n v="31"/>
    <n v="3"/>
    <n v="4"/>
    <x v="5"/>
    <x v="3"/>
    <s v="Married"/>
    <n v="16799"/>
    <n v="16616"/>
    <n v="0"/>
    <s v="Y"/>
    <s v="No"/>
    <n v="14"/>
    <n v="3"/>
    <n v="3"/>
    <n v="80"/>
    <n v="1"/>
    <n v="21"/>
    <n v="5"/>
    <n v="3"/>
    <n v="20"/>
    <n v="7"/>
    <n v="0"/>
    <n v="9"/>
    <x v="1"/>
    <x v="0"/>
    <x v="3"/>
  </r>
  <r>
    <n v="52"/>
    <s v="No"/>
    <s v="Travel_Rarely"/>
    <n v="258"/>
    <x v="1"/>
    <n v="8"/>
    <n v="4"/>
    <s v="Other"/>
    <n v="1"/>
    <n v="1409"/>
    <n v="3"/>
    <x v="0"/>
    <n v="54"/>
    <n v="3"/>
    <n v="1"/>
    <x v="2"/>
    <x v="3"/>
    <s v="Married"/>
    <n v="2950"/>
    <n v="17363"/>
    <n v="9"/>
    <s v="Y"/>
    <s v="No"/>
    <n v="13"/>
    <n v="3"/>
    <n v="3"/>
    <n v="80"/>
    <n v="0"/>
    <n v="12"/>
    <n v="2"/>
    <n v="1"/>
    <n v="5"/>
    <n v="4"/>
    <n v="0"/>
    <n v="4"/>
    <x v="1"/>
    <x v="1"/>
    <x v="2"/>
  </r>
  <r>
    <n v="37"/>
    <s v="No"/>
    <s v="Travel_Rarely"/>
    <n v="1462"/>
    <x v="1"/>
    <n v="11"/>
    <n v="3"/>
    <s v="Medical"/>
    <n v="1"/>
    <n v="1411"/>
    <n v="1"/>
    <x v="0"/>
    <n v="94"/>
    <n v="3"/>
    <n v="1"/>
    <x v="2"/>
    <x v="2"/>
    <s v="Single"/>
    <n v="3629"/>
    <n v="19106"/>
    <n v="4"/>
    <s v="Y"/>
    <s v="No"/>
    <n v="18"/>
    <n v="3"/>
    <n v="1"/>
    <n v="80"/>
    <n v="0"/>
    <n v="8"/>
    <n v="6"/>
    <n v="3"/>
    <n v="3"/>
    <n v="2"/>
    <n v="0"/>
    <n v="2"/>
    <x v="1"/>
    <x v="0"/>
    <x v="2"/>
  </r>
  <r>
    <n v="35"/>
    <s v="No"/>
    <s v="Travel_Frequently"/>
    <n v="200"/>
    <x v="1"/>
    <n v="18"/>
    <n v="2"/>
    <s v="Life Sciences"/>
    <n v="1"/>
    <n v="1412"/>
    <n v="3"/>
    <x v="1"/>
    <n v="60"/>
    <n v="3"/>
    <n v="3"/>
    <x v="3"/>
    <x v="0"/>
    <s v="Single"/>
    <n v="9362"/>
    <n v="19944"/>
    <n v="2"/>
    <s v="Y"/>
    <s v="No"/>
    <n v="11"/>
    <n v="3"/>
    <n v="3"/>
    <n v="80"/>
    <n v="0"/>
    <n v="10"/>
    <n v="2"/>
    <n v="3"/>
    <n v="2"/>
    <n v="2"/>
    <n v="2"/>
    <n v="2"/>
    <x v="1"/>
    <x v="2"/>
    <x v="1"/>
  </r>
  <r>
    <n v="25"/>
    <s v="No"/>
    <s v="Travel_Rarely"/>
    <n v="949"/>
    <x v="1"/>
    <n v="1"/>
    <n v="3"/>
    <s v="Technical Degree"/>
    <n v="1"/>
    <n v="1415"/>
    <n v="1"/>
    <x v="1"/>
    <n v="81"/>
    <n v="3"/>
    <n v="1"/>
    <x v="2"/>
    <x v="0"/>
    <s v="Married"/>
    <n v="3229"/>
    <n v="4910"/>
    <n v="4"/>
    <s v="Y"/>
    <s v="No"/>
    <n v="11"/>
    <n v="3"/>
    <n v="2"/>
    <n v="80"/>
    <n v="1"/>
    <n v="7"/>
    <n v="2"/>
    <n v="2"/>
    <n v="3"/>
    <n v="2"/>
    <n v="0"/>
    <n v="2"/>
    <x v="1"/>
    <x v="3"/>
    <x v="2"/>
  </r>
  <r>
    <n v="26"/>
    <s v="No"/>
    <s v="Travel_Rarely"/>
    <n v="652"/>
    <x v="1"/>
    <n v="7"/>
    <n v="3"/>
    <s v="Other"/>
    <n v="1"/>
    <n v="1417"/>
    <n v="3"/>
    <x v="1"/>
    <n v="100"/>
    <n v="4"/>
    <n v="1"/>
    <x v="2"/>
    <x v="3"/>
    <s v="Single"/>
    <n v="3578"/>
    <n v="23577"/>
    <n v="0"/>
    <s v="Y"/>
    <s v="No"/>
    <n v="12"/>
    <n v="3"/>
    <n v="4"/>
    <n v="80"/>
    <n v="0"/>
    <n v="8"/>
    <n v="2"/>
    <n v="3"/>
    <n v="7"/>
    <n v="7"/>
    <n v="0"/>
    <n v="7"/>
    <x v="1"/>
    <x v="2"/>
    <x v="0"/>
  </r>
  <r>
    <n v="29"/>
    <s v="No"/>
    <s v="Travel_Rarely"/>
    <n v="332"/>
    <x v="2"/>
    <n v="17"/>
    <n v="3"/>
    <s v="Other"/>
    <n v="1"/>
    <n v="1419"/>
    <n v="2"/>
    <x v="1"/>
    <n v="51"/>
    <n v="2"/>
    <n v="3"/>
    <x v="8"/>
    <x v="3"/>
    <s v="Single"/>
    <n v="7988"/>
    <n v="9769"/>
    <n v="1"/>
    <s v="Y"/>
    <s v="No"/>
    <n v="13"/>
    <n v="3"/>
    <n v="1"/>
    <n v="80"/>
    <n v="0"/>
    <n v="10"/>
    <n v="3"/>
    <n v="2"/>
    <n v="10"/>
    <n v="9"/>
    <n v="0"/>
    <n v="9"/>
    <x v="1"/>
    <x v="2"/>
    <x v="0"/>
  </r>
  <r>
    <n v="49"/>
    <s v="Yes"/>
    <s v="Travel_Frequently"/>
    <n v="1475"/>
    <x v="1"/>
    <n v="28"/>
    <n v="2"/>
    <s v="Life Sciences"/>
    <n v="1"/>
    <n v="1420"/>
    <n v="1"/>
    <x v="1"/>
    <n v="97"/>
    <n v="2"/>
    <n v="2"/>
    <x v="2"/>
    <x v="3"/>
    <s v="Single"/>
    <n v="4284"/>
    <n v="22710"/>
    <n v="3"/>
    <s v="Y"/>
    <s v="No"/>
    <n v="20"/>
    <n v="4"/>
    <n v="1"/>
    <n v="80"/>
    <n v="0"/>
    <n v="20"/>
    <n v="2"/>
    <n v="3"/>
    <n v="4"/>
    <n v="3"/>
    <n v="1"/>
    <n v="3"/>
    <x v="0"/>
    <x v="1"/>
    <x v="2"/>
  </r>
  <r>
    <n v="29"/>
    <s v="Yes"/>
    <s v="Travel_Frequently"/>
    <n v="337"/>
    <x v="1"/>
    <n v="14"/>
    <n v="1"/>
    <s v="Other"/>
    <n v="1"/>
    <n v="1421"/>
    <n v="3"/>
    <x v="0"/>
    <n v="84"/>
    <n v="3"/>
    <n v="3"/>
    <x v="4"/>
    <x v="0"/>
    <s v="Single"/>
    <n v="7553"/>
    <n v="22930"/>
    <n v="0"/>
    <s v="Y"/>
    <s v="Yes"/>
    <n v="12"/>
    <n v="3"/>
    <n v="1"/>
    <n v="80"/>
    <n v="0"/>
    <n v="9"/>
    <n v="1"/>
    <n v="3"/>
    <n v="8"/>
    <n v="7"/>
    <n v="7"/>
    <n v="7"/>
    <x v="0"/>
    <x v="2"/>
    <x v="0"/>
  </r>
  <r>
    <n v="54"/>
    <s v="No"/>
    <s v="Travel_Rarely"/>
    <n v="971"/>
    <x v="1"/>
    <n v="1"/>
    <n v="3"/>
    <s v="Medical"/>
    <n v="1"/>
    <n v="1422"/>
    <n v="4"/>
    <x v="0"/>
    <n v="54"/>
    <n v="3"/>
    <n v="4"/>
    <x v="7"/>
    <x v="0"/>
    <s v="Single"/>
    <n v="17328"/>
    <n v="5652"/>
    <n v="6"/>
    <s v="Y"/>
    <s v="No"/>
    <n v="19"/>
    <n v="3"/>
    <n v="4"/>
    <n v="80"/>
    <n v="0"/>
    <n v="29"/>
    <n v="3"/>
    <n v="2"/>
    <n v="20"/>
    <n v="7"/>
    <n v="12"/>
    <n v="7"/>
    <x v="1"/>
    <x v="1"/>
    <x v="3"/>
  </r>
  <r>
    <n v="58"/>
    <s v="No"/>
    <s v="Travel_Rarely"/>
    <n v="1055"/>
    <x v="1"/>
    <n v="1"/>
    <n v="3"/>
    <s v="Medical"/>
    <n v="1"/>
    <n v="1423"/>
    <n v="4"/>
    <x v="0"/>
    <n v="76"/>
    <n v="3"/>
    <n v="5"/>
    <x v="7"/>
    <x v="3"/>
    <s v="Married"/>
    <n v="19701"/>
    <n v="22456"/>
    <n v="3"/>
    <s v="Y"/>
    <s v="Yes"/>
    <n v="21"/>
    <n v="4"/>
    <n v="3"/>
    <n v="80"/>
    <n v="1"/>
    <n v="32"/>
    <n v="3"/>
    <n v="3"/>
    <n v="9"/>
    <n v="8"/>
    <n v="1"/>
    <n v="5"/>
    <x v="1"/>
    <x v="1"/>
    <x v="0"/>
  </r>
  <r>
    <n v="55"/>
    <s v="No"/>
    <s v="Travel_Rarely"/>
    <n v="1136"/>
    <x v="1"/>
    <n v="1"/>
    <n v="4"/>
    <s v="Medical"/>
    <n v="1"/>
    <n v="1424"/>
    <n v="2"/>
    <x v="1"/>
    <n v="81"/>
    <n v="4"/>
    <n v="4"/>
    <x v="7"/>
    <x v="0"/>
    <s v="Divorced"/>
    <n v="14732"/>
    <n v="12414"/>
    <n v="2"/>
    <s v="Y"/>
    <s v="No"/>
    <n v="13"/>
    <n v="3"/>
    <n v="4"/>
    <n v="80"/>
    <n v="2"/>
    <n v="31"/>
    <n v="4"/>
    <n v="4"/>
    <n v="7"/>
    <n v="7"/>
    <n v="0"/>
    <n v="0"/>
    <x v="1"/>
    <x v="1"/>
    <x v="0"/>
  </r>
  <r>
    <n v="36"/>
    <s v="No"/>
    <s v="Travel_Rarely"/>
    <n v="1174"/>
    <x v="0"/>
    <n v="3"/>
    <n v="4"/>
    <s v="Marketing"/>
    <n v="1"/>
    <n v="1425"/>
    <n v="1"/>
    <x v="0"/>
    <n v="99"/>
    <n v="3"/>
    <n v="2"/>
    <x v="0"/>
    <x v="1"/>
    <s v="Single"/>
    <n v="9278"/>
    <n v="20763"/>
    <n v="3"/>
    <s v="Y"/>
    <s v="Yes"/>
    <n v="16"/>
    <n v="3"/>
    <n v="4"/>
    <n v="80"/>
    <n v="0"/>
    <n v="15"/>
    <n v="3"/>
    <n v="3"/>
    <n v="5"/>
    <n v="4"/>
    <n v="0"/>
    <n v="1"/>
    <x v="1"/>
    <x v="0"/>
    <x v="2"/>
  </r>
  <r>
    <n v="31"/>
    <s v="Yes"/>
    <s v="Travel_Frequently"/>
    <n v="667"/>
    <x v="0"/>
    <n v="1"/>
    <n v="4"/>
    <s v="Life Sciences"/>
    <n v="1"/>
    <n v="1427"/>
    <n v="2"/>
    <x v="0"/>
    <n v="50"/>
    <n v="1"/>
    <n v="1"/>
    <x v="6"/>
    <x v="2"/>
    <s v="Single"/>
    <n v="1359"/>
    <n v="16154"/>
    <n v="1"/>
    <s v="Y"/>
    <s v="No"/>
    <n v="12"/>
    <n v="3"/>
    <n v="2"/>
    <n v="80"/>
    <n v="0"/>
    <n v="1"/>
    <n v="3"/>
    <n v="3"/>
    <n v="1"/>
    <n v="0"/>
    <n v="0"/>
    <n v="0"/>
    <x v="0"/>
    <x v="2"/>
    <x v="1"/>
  </r>
  <r>
    <n v="30"/>
    <s v="No"/>
    <s v="Travel_Rarely"/>
    <n v="855"/>
    <x v="0"/>
    <n v="7"/>
    <n v="4"/>
    <s v="Marketing"/>
    <n v="1"/>
    <n v="1428"/>
    <n v="4"/>
    <x v="0"/>
    <n v="73"/>
    <n v="3"/>
    <n v="2"/>
    <x v="0"/>
    <x v="3"/>
    <s v="Divorced"/>
    <n v="4779"/>
    <n v="12761"/>
    <n v="7"/>
    <s v="Y"/>
    <s v="No"/>
    <n v="14"/>
    <n v="3"/>
    <n v="2"/>
    <n v="80"/>
    <n v="2"/>
    <n v="8"/>
    <n v="3"/>
    <n v="3"/>
    <n v="3"/>
    <n v="2"/>
    <n v="0"/>
    <n v="2"/>
    <x v="1"/>
    <x v="2"/>
    <x v="2"/>
  </r>
  <r>
    <n v="31"/>
    <s v="No"/>
    <s v="Travel_Rarely"/>
    <n v="182"/>
    <x v="1"/>
    <n v="8"/>
    <n v="5"/>
    <s v="Life Sciences"/>
    <n v="1"/>
    <n v="1430"/>
    <n v="1"/>
    <x v="0"/>
    <n v="93"/>
    <n v="3"/>
    <n v="4"/>
    <x v="7"/>
    <x v="1"/>
    <s v="Single"/>
    <n v="16422"/>
    <n v="8847"/>
    <n v="3"/>
    <s v="Y"/>
    <s v="No"/>
    <n v="11"/>
    <n v="3"/>
    <n v="3"/>
    <n v="80"/>
    <n v="0"/>
    <n v="9"/>
    <n v="3"/>
    <n v="4"/>
    <n v="3"/>
    <n v="2"/>
    <n v="1"/>
    <n v="0"/>
    <x v="1"/>
    <x v="2"/>
    <x v="2"/>
  </r>
  <r>
    <n v="34"/>
    <s v="No"/>
    <s v="Travel_Frequently"/>
    <n v="560"/>
    <x v="1"/>
    <n v="1"/>
    <n v="4"/>
    <s v="Other"/>
    <n v="1"/>
    <n v="1431"/>
    <n v="4"/>
    <x v="1"/>
    <n v="91"/>
    <n v="3"/>
    <n v="1"/>
    <x v="1"/>
    <x v="3"/>
    <s v="Divorced"/>
    <n v="2996"/>
    <n v="20284"/>
    <n v="5"/>
    <s v="Y"/>
    <s v="No"/>
    <n v="14"/>
    <n v="3"/>
    <n v="3"/>
    <n v="80"/>
    <n v="2"/>
    <n v="10"/>
    <n v="2"/>
    <n v="3"/>
    <n v="4"/>
    <n v="3"/>
    <n v="1"/>
    <n v="3"/>
    <x v="1"/>
    <x v="2"/>
    <x v="2"/>
  </r>
  <r>
    <n v="31"/>
    <s v="Yes"/>
    <s v="Travel_Rarely"/>
    <n v="202"/>
    <x v="1"/>
    <n v="8"/>
    <n v="3"/>
    <s v="Life Sciences"/>
    <n v="1"/>
    <n v="1433"/>
    <n v="1"/>
    <x v="0"/>
    <n v="34"/>
    <n v="2"/>
    <n v="1"/>
    <x v="1"/>
    <x v="1"/>
    <s v="Single"/>
    <n v="1261"/>
    <n v="22262"/>
    <n v="1"/>
    <s v="Y"/>
    <s v="No"/>
    <n v="12"/>
    <n v="3"/>
    <n v="3"/>
    <n v="80"/>
    <n v="0"/>
    <n v="1"/>
    <n v="3"/>
    <n v="4"/>
    <n v="1"/>
    <n v="0"/>
    <n v="0"/>
    <n v="0"/>
    <x v="0"/>
    <x v="2"/>
    <x v="1"/>
  </r>
  <r>
    <n v="27"/>
    <s v="No"/>
    <s v="Travel_Rarely"/>
    <n v="1377"/>
    <x v="1"/>
    <n v="11"/>
    <n v="1"/>
    <s v="Life Sciences"/>
    <n v="1"/>
    <n v="1434"/>
    <n v="2"/>
    <x v="1"/>
    <n v="91"/>
    <n v="3"/>
    <n v="1"/>
    <x v="2"/>
    <x v="3"/>
    <s v="Married"/>
    <n v="2099"/>
    <n v="7679"/>
    <n v="0"/>
    <s v="Y"/>
    <s v="No"/>
    <n v="14"/>
    <n v="3"/>
    <n v="2"/>
    <n v="80"/>
    <n v="0"/>
    <n v="6"/>
    <n v="3"/>
    <n v="4"/>
    <n v="5"/>
    <n v="0"/>
    <n v="1"/>
    <n v="4"/>
    <x v="1"/>
    <x v="2"/>
    <x v="2"/>
  </r>
  <r>
    <n v="36"/>
    <s v="No"/>
    <s v="Travel_Rarely"/>
    <n v="172"/>
    <x v="1"/>
    <n v="4"/>
    <n v="4"/>
    <s v="Life Sciences"/>
    <n v="1"/>
    <n v="1435"/>
    <n v="1"/>
    <x v="1"/>
    <n v="37"/>
    <n v="2"/>
    <n v="2"/>
    <x v="2"/>
    <x v="0"/>
    <s v="Single"/>
    <n v="5810"/>
    <n v="22604"/>
    <n v="1"/>
    <s v="Y"/>
    <s v="No"/>
    <n v="16"/>
    <n v="3"/>
    <n v="3"/>
    <n v="80"/>
    <n v="0"/>
    <n v="10"/>
    <n v="2"/>
    <n v="2"/>
    <n v="10"/>
    <n v="4"/>
    <n v="1"/>
    <n v="8"/>
    <x v="1"/>
    <x v="0"/>
    <x v="0"/>
  </r>
  <r>
    <n v="36"/>
    <s v="No"/>
    <s v="Travel_Rarely"/>
    <n v="329"/>
    <x v="0"/>
    <n v="16"/>
    <n v="4"/>
    <s v="Marketing"/>
    <n v="1"/>
    <n v="1436"/>
    <n v="3"/>
    <x v="0"/>
    <n v="98"/>
    <n v="2"/>
    <n v="2"/>
    <x v="0"/>
    <x v="3"/>
    <s v="Married"/>
    <n v="5647"/>
    <n v="13494"/>
    <n v="4"/>
    <s v="Y"/>
    <s v="No"/>
    <n v="13"/>
    <n v="3"/>
    <n v="1"/>
    <n v="80"/>
    <n v="2"/>
    <n v="11"/>
    <n v="3"/>
    <n v="2"/>
    <n v="3"/>
    <n v="2"/>
    <n v="0"/>
    <n v="2"/>
    <x v="1"/>
    <x v="0"/>
    <x v="2"/>
  </r>
  <r>
    <n v="47"/>
    <s v="No"/>
    <s v="Travel_Rarely"/>
    <n v="465"/>
    <x v="1"/>
    <n v="1"/>
    <n v="3"/>
    <s v="Technical Degree"/>
    <n v="1"/>
    <n v="1438"/>
    <n v="1"/>
    <x v="1"/>
    <n v="74"/>
    <n v="3"/>
    <n v="1"/>
    <x v="1"/>
    <x v="0"/>
    <s v="Married"/>
    <n v="3420"/>
    <n v="10205"/>
    <n v="7"/>
    <s v="Y"/>
    <s v="No"/>
    <n v="12"/>
    <n v="3"/>
    <n v="3"/>
    <n v="80"/>
    <n v="1"/>
    <n v="17"/>
    <n v="2"/>
    <n v="2"/>
    <n v="6"/>
    <n v="5"/>
    <n v="1"/>
    <n v="2"/>
    <x v="1"/>
    <x v="1"/>
    <x v="0"/>
  </r>
  <r>
    <n v="25"/>
    <s v="Yes"/>
    <s v="Travel_Rarely"/>
    <n v="383"/>
    <x v="0"/>
    <n v="9"/>
    <n v="2"/>
    <s v="Life Sciences"/>
    <n v="1"/>
    <n v="1439"/>
    <n v="1"/>
    <x v="1"/>
    <n v="68"/>
    <n v="2"/>
    <n v="1"/>
    <x v="6"/>
    <x v="3"/>
    <s v="Married"/>
    <n v="4400"/>
    <n v="15182"/>
    <n v="3"/>
    <s v="Y"/>
    <s v="No"/>
    <n v="12"/>
    <n v="3"/>
    <n v="1"/>
    <n v="80"/>
    <n v="0"/>
    <n v="6"/>
    <n v="2"/>
    <n v="3"/>
    <n v="3"/>
    <n v="2"/>
    <n v="2"/>
    <n v="2"/>
    <x v="0"/>
    <x v="3"/>
    <x v="2"/>
  </r>
  <r>
    <n v="37"/>
    <s v="No"/>
    <s v="Non-Travel"/>
    <n v="1413"/>
    <x v="1"/>
    <n v="5"/>
    <n v="2"/>
    <s v="Technical Degree"/>
    <n v="1"/>
    <n v="1440"/>
    <n v="3"/>
    <x v="1"/>
    <n v="84"/>
    <n v="4"/>
    <n v="1"/>
    <x v="2"/>
    <x v="2"/>
    <s v="Single"/>
    <n v="3500"/>
    <n v="25470"/>
    <n v="0"/>
    <s v="Y"/>
    <s v="No"/>
    <n v="14"/>
    <n v="3"/>
    <n v="1"/>
    <n v="80"/>
    <n v="0"/>
    <n v="7"/>
    <n v="2"/>
    <n v="1"/>
    <n v="6"/>
    <n v="5"/>
    <n v="1"/>
    <n v="3"/>
    <x v="1"/>
    <x v="0"/>
    <x v="0"/>
  </r>
  <r>
    <n v="56"/>
    <s v="No"/>
    <s v="Travel_Rarely"/>
    <n v="1255"/>
    <x v="1"/>
    <n v="1"/>
    <n v="2"/>
    <s v="Life Sciences"/>
    <n v="1"/>
    <n v="1441"/>
    <n v="1"/>
    <x v="0"/>
    <n v="90"/>
    <n v="3"/>
    <n v="1"/>
    <x v="1"/>
    <x v="3"/>
    <s v="Married"/>
    <n v="2066"/>
    <n v="10494"/>
    <n v="2"/>
    <s v="Y"/>
    <s v="No"/>
    <n v="22"/>
    <n v="4"/>
    <n v="4"/>
    <n v="80"/>
    <n v="1"/>
    <n v="5"/>
    <n v="3"/>
    <n v="4"/>
    <n v="3"/>
    <n v="2"/>
    <n v="1"/>
    <n v="0"/>
    <x v="1"/>
    <x v="1"/>
    <x v="2"/>
  </r>
  <r>
    <n v="47"/>
    <s v="No"/>
    <s v="Travel_Rarely"/>
    <n v="359"/>
    <x v="1"/>
    <n v="2"/>
    <n v="4"/>
    <s v="Medical"/>
    <n v="1"/>
    <n v="1443"/>
    <n v="1"/>
    <x v="0"/>
    <n v="82"/>
    <n v="3"/>
    <n v="4"/>
    <x v="7"/>
    <x v="2"/>
    <s v="Married"/>
    <n v="17169"/>
    <n v="26703"/>
    <n v="3"/>
    <s v="Y"/>
    <s v="No"/>
    <n v="19"/>
    <n v="3"/>
    <n v="2"/>
    <n v="80"/>
    <n v="2"/>
    <n v="26"/>
    <n v="2"/>
    <n v="4"/>
    <n v="20"/>
    <n v="17"/>
    <n v="5"/>
    <n v="6"/>
    <x v="1"/>
    <x v="1"/>
    <x v="3"/>
  </r>
  <r>
    <n v="24"/>
    <s v="No"/>
    <s v="Travel_Rarely"/>
    <n v="1476"/>
    <x v="0"/>
    <n v="4"/>
    <n v="1"/>
    <s v="Medical"/>
    <n v="1"/>
    <n v="1445"/>
    <n v="4"/>
    <x v="0"/>
    <n v="42"/>
    <n v="3"/>
    <n v="2"/>
    <x v="0"/>
    <x v="2"/>
    <s v="Married"/>
    <n v="4162"/>
    <n v="15211"/>
    <n v="1"/>
    <s v="Y"/>
    <s v="Yes"/>
    <n v="12"/>
    <n v="3"/>
    <n v="3"/>
    <n v="80"/>
    <n v="2"/>
    <n v="5"/>
    <n v="3"/>
    <n v="3"/>
    <n v="5"/>
    <n v="4"/>
    <n v="0"/>
    <n v="3"/>
    <x v="1"/>
    <x v="3"/>
    <x v="2"/>
  </r>
  <r>
    <n v="32"/>
    <s v="No"/>
    <s v="Travel_Rarely"/>
    <n v="601"/>
    <x v="0"/>
    <n v="7"/>
    <n v="5"/>
    <s v="Marketing"/>
    <n v="1"/>
    <n v="1446"/>
    <n v="4"/>
    <x v="1"/>
    <n v="97"/>
    <n v="3"/>
    <n v="2"/>
    <x v="0"/>
    <x v="0"/>
    <s v="Married"/>
    <n v="9204"/>
    <n v="23343"/>
    <n v="4"/>
    <s v="Y"/>
    <s v="No"/>
    <n v="12"/>
    <n v="3"/>
    <n v="3"/>
    <n v="80"/>
    <n v="1"/>
    <n v="7"/>
    <n v="3"/>
    <n v="2"/>
    <n v="4"/>
    <n v="3"/>
    <n v="0"/>
    <n v="3"/>
    <x v="1"/>
    <x v="2"/>
    <x v="2"/>
  </r>
  <r>
    <n v="34"/>
    <s v="No"/>
    <s v="Travel_Rarely"/>
    <n v="401"/>
    <x v="1"/>
    <n v="1"/>
    <n v="3"/>
    <s v="Life Sciences"/>
    <n v="1"/>
    <n v="1447"/>
    <n v="4"/>
    <x v="0"/>
    <n v="86"/>
    <n v="2"/>
    <n v="1"/>
    <x v="2"/>
    <x v="1"/>
    <s v="Married"/>
    <n v="3294"/>
    <n v="3708"/>
    <n v="5"/>
    <s v="Y"/>
    <s v="No"/>
    <n v="17"/>
    <n v="3"/>
    <n v="1"/>
    <n v="80"/>
    <n v="1"/>
    <n v="7"/>
    <n v="2"/>
    <n v="2"/>
    <n v="5"/>
    <n v="4"/>
    <n v="0"/>
    <n v="2"/>
    <x v="1"/>
    <x v="2"/>
    <x v="2"/>
  </r>
  <r>
    <n v="41"/>
    <s v="No"/>
    <s v="Travel_Rarely"/>
    <n v="1283"/>
    <x v="1"/>
    <n v="5"/>
    <n v="5"/>
    <s v="Medical"/>
    <n v="1"/>
    <n v="1448"/>
    <n v="2"/>
    <x v="1"/>
    <n v="90"/>
    <n v="4"/>
    <n v="1"/>
    <x v="1"/>
    <x v="2"/>
    <s v="Married"/>
    <n v="2127"/>
    <n v="5561"/>
    <n v="2"/>
    <s v="Y"/>
    <s v="Yes"/>
    <n v="12"/>
    <n v="3"/>
    <n v="1"/>
    <n v="80"/>
    <n v="0"/>
    <n v="7"/>
    <n v="5"/>
    <n v="2"/>
    <n v="4"/>
    <n v="2"/>
    <n v="0"/>
    <n v="3"/>
    <x v="1"/>
    <x v="0"/>
    <x v="2"/>
  </r>
  <r>
    <n v="40"/>
    <s v="No"/>
    <s v="Non-Travel"/>
    <n v="663"/>
    <x v="1"/>
    <n v="9"/>
    <n v="4"/>
    <s v="Other"/>
    <n v="1"/>
    <n v="1449"/>
    <n v="3"/>
    <x v="1"/>
    <n v="81"/>
    <n v="3"/>
    <n v="2"/>
    <x v="2"/>
    <x v="2"/>
    <s v="Divorced"/>
    <n v="3975"/>
    <n v="23099"/>
    <n v="3"/>
    <s v="Y"/>
    <s v="No"/>
    <n v="11"/>
    <n v="3"/>
    <n v="3"/>
    <n v="80"/>
    <n v="2"/>
    <n v="11"/>
    <n v="2"/>
    <n v="4"/>
    <n v="8"/>
    <n v="7"/>
    <n v="0"/>
    <n v="7"/>
    <x v="1"/>
    <x v="0"/>
    <x v="0"/>
  </r>
  <r>
    <n v="31"/>
    <s v="No"/>
    <s v="Travel_Rarely"/>
    <n v="326"/>
    <x v="0"/>
    <n v="8"/>
    <n v="2"/>
    <s v="Life Sciences"/>
    <n v="1"/>
    <n v="1453"/>
    <n v="1"/>
    <x v="1"/>
    <n v="31"/>
    <n v="3"/>
    <n v="3"/>
    <x v="0"/>
    <x v="0"/>
    <s v="Divorced"/>
    <n v="10793"/>
    <n v="8386"/>
    <n v="1"/>
    <s v="Y"/>
    <s v="No"/>
    <n v="18"/>
    <n v="3"/>
    <n v="1"/>
    <n v="80"/>
    <n v="1"/>
    <n v="13"/>
    <n v="5"/>
    <n v="3"/>
    <n v="13"/>
    <n v="7"/>
    <n v="9"/>
    <n v="9"/>
    <x v="1"/>
    <x v="2"/>
    <x v="3"/>
  </r>
  <r>
    <n v="46"/>
    <s v="Yes"/>
    <s v="Travel_Rarely"/>
    <n v="377"/>
    <x v="0"/>
    <n v="9"/>
    <n v="3"/>
    <s v="Marketing"/>
    <n v="1"/>
    <n v="1457"/>
    <n v="1"/>
    <x v="1"/>
    <n v="52"/>
    <n v="3"/>
    <n v="3"/>
    <x v="0"/>
    <x v="0"/>
    <s v="Divorced"/>
    <n v="10096"/>
    <n v="15986"/>
    <n v="4"/>
    <s v="Y"/>
    <s v="No"/>
    <n v="11"/>
    <n v="3"/>
    <n v="1"/>
    <n v="80"/>
    <n v="1"/>
    <n v="28"/>
    <n v="1"/>
    <n v="4"/>
    <n v="7"/>
    <n v="7"/>
    <n v="4"/>
    <n v="3"/>
    <x v="0"/>
    <x v="1"/>
    <x v="0"/>
  </r>
  <r>
    <n v="39"/>
    <s v="Yes"/>
    <s v="Non-Travel"/>
    <n v="592"/>
    <x v="1"/>
    <n v="2"/>
    <n v="3"/>
    <s v="Life Sciences"/>
    <n v="1"/>
    <n v="1458"/>
    <n v="1"/>
    <x v="0"/>
    <n v="54"/>
    <n v="2"/>
    <n v="1"/>
    <x v="2"/>
    <x v="3"/>
    <s v="Single"/>
    <n v="3646"/>
    <n v="17181"/>
    <n v="2"/>
    <s v="Y"/>
    <s v="Yes"/>
    <n v="23"/>
    <n v="4"/>
    <n v="2"/>
    <n v="80"/>
    <n v="0"/>
    <n v="11"/>
    <n v="2"/>
    <n v="4"/>
    <n v="1"/>
    <n v="0"/>
    <n v="0"/>
    <n v="0"/>
    <x v="0"/>
    <x v="0"/>
    <x v="1"/>
  </r>
  <r>
    <n v="31"/>
    <s v="Yes"/>
    <s v="Travel_Frequently"/>
    <n v="1445"/>
    <x v="1"/>
    <n v="1"/>
    <n v="5"/>
    <s v="Life Sciences"/>
    <n v="1"/>
    <n v="1459"/>
    <n v="3"/>
    <x v="0"/>
    <n v="100"/>
    <n v="4"/>
    <n v="3"/>
    <x v="3"/>
    <x v="1"/>
    <s v="Single"/>
    <n v="7446"/>
    <n v="8931"/>
    <n v="1"/>
    <s v="Y"/>
    <s v="No"/>
    <n v="11"/>
    <n v="3"/>
    <n v="1"/>
    <n v="80"/>
    <n v="0"/>
    <n v="10"/>
    <n v="2"/>
    <n v="3"/>
    <n v="10"/>
    <n v="8"/>
    <n v="4"/>
    <n v="7"/>
    <x v="0"/>
    <x v="2"/>
    <x v="0"/>
  </r>
  <r>
    <n v="45"/>
    <s v="No"/>
    <s v="Travel_Rarely"/>
    <n v="1038"/>
    <x v="1"/>
    <n v="20"/>
    <n v="3"/>
    <s v="Medical"/>
    <n v="1"/>
    <n v="1460"/>
    <n v="2"/>
    <x v="1"/>
    <n v="95"/>
    <n v="1"/>
    <n v="3"/>
    <x v="4"/>
    <x v="3"/>
    <s v="Divorced"/>
    <n v="10851"/>
    <n v="19863"/>
    <n v="2"/>
    <s v="Y"/>
    <s v="Yes"/>
    <n v="18"/>
    <n v="3"/>
    <n v="2"/>
    <n v="80"/>
    <n v="1"/>
    <n v="24"/>
    <n v="2"/>
    <n v="3"/>
    <n v="7"/>
    <n v="7"/>
    <n v="0"/>
    <n v="7"/>
    <x v="1"/>
    <x v="0"/>
    <x v="0"/>
  </r>
  <r>
    <n v="31"/>
    <s v="No"/>
    <s v="Travel_Rarely"/>
    <n v="1398"/>
    <x v="2"/>
    <n v="8"/>
    <n v="2"/>
    <s v="Medical"/>
    <n v="1"/>
    <n v="1461"/>
    <n v="4"/>
    <x v="0"/>
    <n v="96"/>
    <n v="4"/>
    <n v="1"/>
    <x v="8"/>
    <x v="1"/>
    <s v="Single"/>
    <n v="2109"/>
    <n v="24609"/>
    <n v="9"/>
    <s v="Y"/>
    <s v="No"/>
    <n v="18"/>
    <n v="3"/>
    <n v="4"/>
    <n v="80"/>
    <n v="0"/>
    <n v="8"/>
    <n v="3"/>
    <n v="3"/>
    <n v="3"/>
    <n v="2"/>
    <n v="0"/>
    <n v="2"/>
    <x v="1"/>
    <x v="2"/>
    <x v="2"/>
  </r>
  <r>
    <n v="31"/>
    <s v="Yes"/>
    <s v="Travel_Frequently"/>
    <n v="523"/>
    <x v="1"/>
    <n v="2"/>
    <n v="3"/>
    <s v="Life Sciences"/>
    <n v="1"/>
    <n v="1464"/>
    <n v="2"/>
    <x v="1"/>
    <n v="94"/>
    <n v="3"/>
    <n v="1"/>
    <x v="2"/>
    <x v="0"/>
    <s v="Married"/>
    <n v="3722"/>
    <n v="21081"/>
    <n v="6"/>
    <s v="Y"/>
    <s v="Yes"/>
    <n v="13"/>
    <n v="3"/>
    <n v="3"/>
    <n v="80"/>
    <n v="1"/>
    <n v="7"/>
    <n v="2"/>
    <n v="1"/>
    <n v="2"/>
    <n v="2"/>
    <n v="2"/>
    <n v="2"/>
    <x v="0"/>
    <x v="2"/>
    <x v="1"/>
  </r>
  <r>
    <n v="45"/>
    <s v="No"/>
    <s v="Travel_Rarely"/>
    <n v="1448"/>
    <x v="1"/>
    <n v="29"/>
    <n v="3"/>
    <s v="Technical Degree"/>
    <n v="1"/>
    <n v="1465"/>
    <n v="2"/>
    <x v="1"/>
    <n v="55"/>
    <n v="3"/>
    <n v="3"/>
    <x v="3"/>
    <x v="0"/>
    <s v="Married"/>
    <n v="9380"/>
    <n v="14720"/>
    <n v="4"/>
    <s v="Y"/>
    <s v="Yes"/>
    <n v="18"/>
    <n v="3"/>
    <n v="4"/>
    <n v="80"/>
    <n v="2"/>
    <n v="10"/>
    <n v="4"/>
    <n v="4"/>
    <n v="3"/>
    <n v="1"/>
    <n v="1"/>
    <n v="2"/>
    <x v="1"/>
    <x v="0"/>
    <x v="2"/>
  </r>
  <r>
    <n v="48"/>
    <s v="No"/>
    <s v="Travel_Rarely"/>
    <n v="1221"/>
    <x v="0"/>
    <n v="7"/>
    <n v="3"/>
    <s v="Marketing"/>
    <n v="1"/>
    <n v="1466"/>
    <n v="3"/>
    <x v="1"/>
    <n v="96"/>
    <n v="3"/>
    <n v="2"/>
    <x v="0"/>
    <x v="3"/>
    <s v="Divorced"/>
    <n v="5486"/>
    <n v="24795"/>
    <n v="4"/>
    <s v="Y"/>
    <s v="No"/>
    <n v="11"/>
    <n v="3"/>
    <n v="1"/>
    <n v="80"/>
    <n v="3"/>
    <n v="15"/>
    <n v="3"/>
    <n v="3"/>
    <n v="2"/>
    <n v="2"/>
    <n v="2"/>
    <n v="2"/>
    <x v="1"/>
    <x v="1"/>
    <x v="1"/>
  </r>
  <r>
    <n v="34"/>
    <s v="Yes"/>
    <s v="Travel_Rarely"/>
    <n v="1107"/>
    <x v="2"/>
    <n v="9"/>
    <n v="4"/>
    <s v="Technical Degree"/>
    <n v="1"/>
    <n v="1467"/>
    <n v="1"/>
    <x v="0"/>
    <n v="52"/>
    <n v="3"/>
    <n v="1"/>
    <x v="8"/>
    <x v="2"/>
    <s v="Married"/>
    <n v="2742"/>
    <n v="3072"/>
    <n v="1"/>
    <s v="Y"/>
    <s v="No"/>
    <n v="15"/>
    <n v="3"/>
    <n v="4"/>
    <n v="80"/>
    <n v="0"/>
    <n v="2"/>
    <n v="0"/>
    <n v="3"/>
    <n v="2"/>
    <n v="2"/>
    <n v="2"/>
    <n v="2"/>
    <x v="0"/>
    <x v="2"/>
    <x v="1"/>
  </r>
  <r>
    <n v="40"/>
    <s v="No"/>
    <s v="Non-Travel"/>
    <n v="218"/>
    <x v="1"/>
    <n v="8"/>
    <n v="1"/>
    <s v="Medical"/>
    <n v="1"/>
    <n v="1468"/>
    <n v="4"/>
    <x v="1"/>
    <n v="55"/>
    <n v="2"/>
    <n v="3"/>
    <x v="7"/>
    <x v="1"/>
    <s v="Divorced"/>
    <n v="13757"/>
    <n v="25178"/>
    <n v="2"/>
    <s v="Y"/>
    <s v="No"/>
    <n v="11"/>
    <n v="3"/>
    <n v="3"/>
    <n v="80"/>
    <n v="1"/>
    <n v="16"/>
    <n v="5"/>
    <n v="3"/>
    <n v="9"/>
    <n v="8"/>
    <n v="4"/>
    <n v="8"/>
    <x v="1"/>
    <x v="0"/>
    <x v="0"/>
  </r>
  <r>
    <n v="28"/>
    <s v="No"/>
    <s v="Travel_Rarely"/>
    <n v="866"/>
    <x v="0"/>
    <n v="5"/>
    <n v="3"/>
    <s v="Medical"/>
    <n v="1"/>
    <n v="1469"/>
    <n v="4"/>
    <x v="1"/>
    <n v="84"/>
    <n v="3"/>
    <n v="2"/>
    <x v="0"/>
    <x v="3"/>
    <s v="Single"/>
    <n v="8463"/>
    <n v="23490"/>
    <n v="0"/>
    <s v="Y"/>
    <s v="No"/>
    <n v="18"/>
    <n v="3"/>
    <n v="4"/>
    <n v="80"/>
    <n v="0"/>
    <n v="6"/>
    <n v="4"/>
    <n v="3"/>
    <n v="5"/>
    <n v="4"/>
    <n v="1"/>
    <n v="3"/>
    <x v="1"/>
    <x v="2"/>
    <x v="2"/>
  </r>
  <r>
    <n v="44"/>
    <s v="No"/>
    <s v="Non-Travel"/>
    <n v="981"/>
    <x v="1"/>
    <n v="5"/>
    <n v="3"/>
    <s v="Life Sciences"/>
    <n v="1"/>
    <n v="1471"/>
    <n v="3"/>
    <x v="1"/>
    <n v="90"/>
    <n v="2"/>
    <n v="1"/>
    <x v="2"/>
    <x v="2"/>
    <s v="Single"/>
    <n v="3162"/>
    <n v="7973"/>
    <n v="3"/>
    <s v="Y"/>
    <s v="No"/>
    <n v="14"/>
    <n v="3"/>
    <n v="4"/>
    <n v="80"/>
    <n v="0"/>
    <n v="7"/>
    <n v="5"/>
    <n v="3"/>
    <n v="5"/>
    <n v="2"/>
    <n v="0"/>
    <n v="3"/>
    <x v="1"/>
    <x v="0"/>
    <x v="2"/>
  </r>
  <r>
    <n v="53"/>
    <s v="No"/>
    <s v="Travel_Rarely"/>
    <n v="447"/>
    <x v="1"/>
    <n v="2"/>
    <n v="3"/>
    <s v="Medical"/>
    <n v="1"/>
    <n v="1472"/>
    <n v="4"/>
    <x v="1"/>
    <n v="39"/>
    <n v="4"/>
    <n v="4"/>
    <x v="7"/>
    <x v="1"/>
    <s v="Single"/>
    <n v="16598"/>
    <n v="19764"/>
    <n v="4"/>
    <s v="Y"/>
    <s v="No"/>
    <n v="12"/>
    <n v="3"/>
    <n v="2"/>
    <n v="80"/>
    <n v="0"/>
    <n v="35"/>
    <n v="2"/>
    <n v="2"/>
    <n v="9"/>
    <n v="8"/>
    <n v="8"/>
    <n v="8"/>
    <x v="1"/>
    <x v="1"/>
    <x v="0"/>
  </r>
  <r>
    <n v="49"/>
    <s v="No"/>
    <s v="Travel_Rarely"/>
    <n v="1495"/>
    <x v="1"/>
    <n v="5"/>
    <n v="4"/>
    <s v="Technical Degree"/>
    <n v="1"/>
    <n v="1473"/>
    <n v="1"/>
    <x v="1"/>
    <n v="96"/>
    <n v="3"/>
    <n v="2"/>
    <x v="4"/>
    <x v="2"/>
    <s v="Married"/>
    <n v="6651"/>
    <n v="21534"/>
    <n v="2"/>
    <s v="Y"/>
    <s v="No"/>
    <n v="14"/>
    <n v="3"/>
    <n v="2"/>
    <n v="80"/>
    <n v="1"/>
    <n v="20"/>
    <n v="0"/>
    <n v="2"/>
    <n v="3"/>
    <n v="2"/>
    <n v="1"/>
    <n v="2"/>
    <x v="1"/>
    <x v="1"/>
    <x v="2"/>
  </r>
  <r>
    <n v="40"/>
    <s v="No"/>
    <s v="Travel_Rarely"/>
    <n v="896"/>
    <x v="1"/>
    <n v="2"/>
    <n v="3"/>
    <s v="Medical"/>
    <n v="1"/>
    <n v="1474"/>
    <n v="3"/>
    <x v="1"/>
    <n v="68"/>
    <n v="3"/>
    <n v="1"/>
    <x v="1"/>
    <x v="2"/>
    <s v="Divorced"/>
    <n v="2345"/>
    <n v="8045"/>
    <n v="2"/>
    <s v="Y"/>
    <s v="No"/>
    <n v="14"/>
    <n v="3"/>
    <n v="3"/>
    <n v="80"/>
    <n v="1"/>
    <n v="8"/>
    <n v="3"/>
    <n v="4"/>
    <n v="3"/>
    <n v="1"/>
    <n v="1"/>
    <n v="2"/>
    <x v="1"/>
    <x v="0"/>
    <x v="2"/>
  </r>
  <r>
    <n v="44"/>
    <s v="No"/>
    <s v="Travel_Rarely"/>
    <n v="1467"/>
    <x v="1"/>
    <n v="20"/>
    <n v="3"/>
    <s v="Life Sciences"/>
    <n v="1"/>
    <n v="1475"/>
    <n v="4"/>
    <x v="1"/>
    <n v="49"/>
    <n v="3"/>
    <n v="1"/>
    <x v="1"/>
    <x v="1"/>
    <s v="Single"/>
    <n v="3420"/>
    <n v="21158"/>
    <n v="1"/>
    <s v="Y"/>
    <s v="No"/>
    <n v="13"/>
    <n v="3"/>
    <n v="3"/>
    <n v="80"/>
    <n v="0"/>
    <n v="6"/>
    <n v="3"/>
    <n v="2"/>
    <n v="5"/>
    <n v="2"/>
    <n v="1"/>
    <n v="3"/>
    <x v="1"/>
    <x v="0"/>
    <x v="2"/>
  </r>
  <r>
    <n v="33"/>
    <s v="No"/>
    <s v="Travel_Frequently"/>
    <n v="430"/>
    <x v="0"/>
    <n v="7"/>
    <n v="3"/>
    <s v="Medical"/>
    <n v="1"/>
    <n v="1477"/>
    <n v="4"/>
    <x v="1"/>
    <n v="54"/>
    <n v="3"/>
    <n v="2"/>
    <x v="0"/>
    <x v="3"/>
    <s v="Married"/>
    <n v="4373"/>
    <n v="17456"/>
    <n v="0"/>
    <s v="Y"/>
    <s v="No"/>
    <n v="14"/>
    <n v="3"/>
    <n v="1"/>
    <n v="80"/>
    <n v="2"/>
    <n v="5"/>
    <n v="2"/>
    <n v="3"/>
    <n v="4"/>
    <n v="3"/>
    <n v="0"/>
    <n v="3"/>
    <x v="1"/>
    <x v="2"/>
    <x v="2"/>
  </r>
  <r>
    <n v="34"/>
    <s v="No"/>
    <s v="Travel_Rarely"/>
    <n v="1326"/>
    <x v="0"/>
    <n v="3"/>
    <n v="3"/>
    <s v="Other"/>
    <n v="1"/>
    <n v="1478"/>
    <n v="4"/>
    <x v="1"/>
    <n v="81"/>
    <n v="1"/>
    <n v="2"/>
    <x v="0"/>
    <x v="3"/>
    <s v="Single"/>
    <n v="4759"/>
    <n v="15891"/>
    <n v="3"/>
    <s v="Y"/>
    <s v="No"/>
    <n v="18"/>
    <n v="3"/>
    <n v="4"/>
    <n v="80"/>
    <n v="0"/>
    <n v="15"/>
    <n v="2"/>
    <n v="3"/>
    <n v="13"/>
    <n v="9"/>
    <n v="3"/>
    <n v="12"/>
    <x v="1"/>
    <x v="2"/>
    <x v="3"/>
  </r>
  <r>
    <n v="30"/>
    <s v="No"/>
    <s v="Travel_Rarely"/>
    <n v="1358"/>
    <x v="0"/>
    <n v="16"/>
    <n v="1"/>
    <s v="Life Sciences"/>
    <n v="1"/>
    <n v="1479"/>
    <n v="4"/>
    <x v="1"/>
    <n v="96"/>
    <n v="3"/>
    <n v="2"/>
    <x v="0"/>
    <x v="2"/>
    <s v="Married"/>
    <n v="5301"/>
    <n v="2939"/>
    <n v="8"/>
    <s v="Y"/>
    <s v="No"/>
    <n v="15"/>
    <n v="3"/>
    <n v="3"/>
    <n v="80"/>
    <n v="2"/>
    <n v="4"/>
    <n v="2"/>
    <n v="2"/>
    <n v="2"/>
    <n v="1"/>
    <n v="2"/>
    <n v="2"/>
    <x v="1"/>
    <x v="2"/>
    <x v="1"/>
  </r>
  <r>
    <n v="42"/>
    <s v="No"/>
    <s v="Travel_Frequently"/>
    <n v="748"/>
    <x v="1"/>
    <n v="9"/>
    <n v="2"/>
    <s v="Medical"/>
    <n v="1"/>
    <n v="1480"/>
    <n v="1"/>
    <x v="0"/>
    <n v="74"/>
    <n v="3"/>
    <n v="1"/>
    <x v="2"/>
    <x v="0"/>
    <s v="Single"/>
    <n v="3673"/>
    <n v="16458"/>
    <n v="1"/>
    <s v="Y"/>
    <s v="No"/>
    <n v="13"/>
    <n v="3"/>
    <n v="3"/>
    <n v="80"/>
    <n v="0"/>
    <n v="12"/>
    <n v="3"/>
    <n v="3"/>
    <n v="12"/>
    <n v="9"/>
    <n v="5"/>
    <n v="8"/>
    <x v="1"/>
    <x v="0"/>
    <x v="3"/>
  </r>
  <r>
    <n v="44"/>
    <s v="No"/>
    <s v="Travel_Frequently"/>
    <n v="383"/>
    <x v="0"/>
    <n v="1"/>
    <n v="5"/>
    <s v="Marketing"/>
    <n v="1"/>
    <n v="1481"/>
    <n v="1"/>
    <x v="0"/>
    <n v="79"/>
    <n v="3"/>
    <n v="2"/>
    <x v="0"/>
    <x v="2"/>
    <s v="Married"/>
    <n v="4768"/>
    <n v="9282"/>
    <n v="7"/>
    <s v="Y"/>
    <s v="No"/>
    <n v="12"/>
    <n v="3"/>
    <n v="3"/>
    <n v="80"/>
    <n v="1"/>
    <n v="11"/>
    <n v="4"/>
    <n v="2"/>
    <n v="1"/>
    <n v="0"/>
    <n v="0"/>
    <n v="0"/>
    <x v="1"/>
    <x v="0"/>
    <x v="1"/>
  </r>
  <r>
    <n v="30"/>
    <s v="No"/>
    <s v="Non-Travel"/>
    <n v="990"/>
    <x v="1"/>
    <n v="7"/>
    <n v="3"/>
    <s v="Technical Degree"/>
    <n v="1"/>
    <n v="1482"/>
    <n v="3"/>
    <x v="1"/>
    <n v="64"/>
    <n v="3"/>
    <n v="1"/>
    <x v="1"/>
    <x v="2"/>
    <s v="Divorced"/>
    <n v="1274"/>
    <n v="7152"/>
    <n v="1"/>
    <s v="Y"/>
    <s v="No"/>
    <n v="13"/>
    <n v="3"/>
    <n v="2"/>
    <n v="80"/>
    <n v="2"/>
    <n v="1"/>
    <n v="2"/>
    <n v="2"/>
    <n v="1"/>
    <n v="0"/>
    <n v="0"/>
    <n v="0"/>
    <x v="1"/>
    <x v="2"/>
    <x v="1"/>
  </r>
  <r>
    <n v="57"/>
    <s v="No"/>
    <s v="Travel_Rarely"/>
    <n v="405"/>
    <x v="1"/>
    <n v="1"/>
    <n v="2"/>
    <s v="Life Sciences"/>
    <n v="1"/>
    <n v="1483"/>
    <n v="2"/>
    <x v="1"/>
    <n v="93"/>
    <n v="4"/>
    <n v="2"/>
    <x v="1"/>
    <x v="2"/>
    <s v="Married"/>
    <n v="4900"/>
    <n v="2721"/>
    <n v="0"/>
    <s v="Y"/>
    <s v="No"/>
    <n v="24"/>
    <n v="4"/>
    <n v="1"/>
    <n v="80"/>
    <n v="1"/>
    <n v="13"/>
    <n v="2"/>
    <n v="2"/>
    <n v="12"/>
    <n v="9"/>
    <n v="2"/>
    <n v="8"/>
    <x v="1"/>
    <x v="1"/>
    <x v="3"/>
  </r>
  <r>
    <n v="49"/>
    <s v="No"/>
    <s v="Travel_Rarely"/>
    <n v="1490"/>
    <x v="1"/>
    <n v="7"/>
    <n v="4"/>
    <s v="Life Sciences"/>
    <n v="1"/>
    <n v="1484"/>
    <n v="3"/>
    <x v="1"/>
    <n v="35"/>
    <n v="3"/>
    <n v="3"/>
    <x v="4"/>
    <x v="1"/>
    <s v="Divorced"/>
    <n v="10466"/>
    <n v="20948"/>
    <n v="3"/>
    <s v="Y"/>
    <s v="No"/>
    <n v="14"/>
    <n v="3"/>
    <n v="2"/>
    <n v="80"/>
    <n v="2"/>
    <n v="29"/>
    <n v="3"/>
    <n v="3"/>
    <n v="8"/>
    <n v="7"/>
    <n v="0"/>
    <n v="7"/>
    <x v="1"/>
    <x v="1"/>
    <x v="0"/>
  </r>
  <r>
    <n v="34"/>
    <s v="No"/>
    <s v="Travel_Frequently"/>
    <n v="829"/>
    <x v="1"/>
    <n v="15"/>
    <n v="3"/>
    <s v="Medical"/>
    <n v="1"/>
    <n v="1485"/>
    <n v="2"/>
    <x v="1"/>
    <n v="71"/>
    <n v="3"/>
    <n v="4"/>
    <x v="7"/>
    <x v="3"/>
    <s v="Divorced"/>
    <n v="17007"/>
    <n v="11929"/>
    <n v="7"/>
    <s v="Y"/>
    <s v="No"/>
    <n v="14"/>
    <n v="3"/>
    <n v="4"/>
    <n v="80"/>
    <n v="2"/>
    <n v="16"/>
    <n v="3"/>
    <n v="2"/>
    <n v="14"/>
    <n v="8"/>
    <n v="6"/>
    <n v="9"/>
    <x v="1"/>
    <x v="2"/>
    <x v="3"/>
  </r>
  <r>
    <n v="28"/>
    <s v="Yes"/>
    <s v="Travel_Frequently"/>
    <n v="1496"/>
    <x v="0"/>
    <n v="1"/>
    <n v="3"/>
    <s v="Technical Degree"/>
    <n v="1"/>
    <n v="1486"/>
    <n v="1"/>
    <x v="1"/>
    <n v="92"/>
    <n v="3"/>
    <n v="1"/>
    <x v="6"/>
    <x v="2"/>
    <s v="Married"/>
    <n v="2909"/>
    <n v="15747"/>
    <n v="3"/>
    <s v="Y"/>
    <s v="No"/>
    <n v="15"/>
    <n v="3"/>
    <n v="4"/>
    <n v="80"/>
    <n v="1"/>
    <n v="5"/>
    <n v="3"/>
    <n v="4"/>
    <n v="3"/>
    <n v="2"/>
    <n v="1"/>
    <n v="2"/>
    <x v="0"/>
    <x v="2"/>
    <x v="2"/>
  </r>
  <r>
    <n v="29"/>
    <s v="Yes"/>
    <s v="Travel_Frequently"/>
    <n v="115"/>
    <x v="0"/>
    <n v="13"/>
    <n v="3"/>
    <s v="Technical Degree"/>
    <n v="1"/>
    <n v="1487"/>
    <n v="1"/>
    <x v="0"/>
    <n v="51"/>
    <n v="3"/>
    <n v="2"/>
    <x v="0"/>
    <x v="1"/>
    <s v="Single"/>
    <n v="5765"/>
    <n v="17485"/>
    <n v="5"/>
    <s v="Y"/>
    <s v="No"/>
    <n v="11"/>
    <n v="3"/>
    <n v="1"/>
    <n v="80"/>
    <n v="0"/>
    <n v="7"/>
    <n v="4"/>
    <n v="1"/>
    <n v="5"/>
    <n v="3"/>
    <n v="0"/>
    <n v="0"/>
    <x v="0"/>
    <x v="2"/>
    <x v="2"/>
  </r>
  <r>
    <n v="34"/>
    <s v="Yes"/>
    <s v="Travel_Rarely"/>
    <n v="790"/>
    <x v="0"/>
    <n v="24"/>
    <n v="4"/>
    <s v="Medical"/>
    <n v="1"/>
    <n v="1489"/>
    <n v="1"/>
    <x v="0"/>
    <n v="40"/>
    <n v="2"/>
    <n v="2"/>
    <x v="0"/>
    <x v="1"/>
    <s v="Single"/>
    <n v="4599"/>
    <n v="7815"/>
    <n v="0"/>
    <s v="Y"/>
    <s v="Yes"/>
    <n v="23"/>
    <n v="4"/>
    <n v="3"/>
    <n v="80"/>
    <n v="0"/>
    <n v="16"/>
    <n v="2"/>
    <n v="4"/>
    <n v="15"/>
    <n v="9"/>
    <n v="10"/>
    <n v="10"/>
    <x v="0"/>
    <x v="2"/>
    <x v="3"/>
  </r>
  <r>
    <n v="35"/>
    <s v="No"/>
    <s v="Travel_Rarely"/>
    <n v="660"/>
    <x v="0"/>
    <n v="7"/>
    <n v="1"/>
    <s v="Life Sciences"/>
    <n v="1"/>
    <n v="1492"/>
    <n v="4"/>
    <x v="1"/>
    <n v="76"/>
    <n v="3"/>
    <n v="1"/>
    <x v="6"/>
    <x v="2"/>
    <s v="Married"/>
    <n v="2404"/>
    <n v="16192"/>
    <n v="1"/>
    <s v="Y"/>
    <s v="No"/>
    <n v="13"/>
    <n v="3"/>
    <n v="1"/>
    <n v="80"/>
    <n v="1"/>
    <n v="1"/>
    <n v="3"/>
    <n v="3"/>
    <n v="1"/>
    <n v="0"/>
    <n v="0"/>
    <n v="0"/>
    <x v="1"/>
    <x v="2"/>
    <x v="1"/>
  </r>
  <r>
    <n v="24"/>
    <s v="Yes"/>
    <s v="Travel_Frequently"/>
    <n v="381"/>
    <x v="1"/>
    <n v="9"/>
    <n v="3"/>
    <s v="Medical"/>
    <n v="1"/>
    <n v="1494"/>
    <n v="2"/>
    <x v="1"/>
    <n v="89"/>
    <n v="3"/>
    <n v="1"/>
    <x v="2"/>
    <x v="3"/>
    <s v="Single"/>
    <n v="3172"/>
    <n v="16998"/>
    <n v="2"/>
    <s v="Y"/>
    <s v="Yes"/>
    <n v="11"/>
    <n v="3"/>
    <n v="3"/>
    <n v="80"/>
    <n v="0"/>
    <n v="4"/>
    <n v="2"/>
    <n v="2"/>
    <n v="0"/>
    <n v="0"/>
    <n v="0"/>
    <n v="0"/>
    <x v="0"/>
    <x v="3"/>
    <x v="1"/>
  </r>
  <r>
    <n v="24"/>
    <s v="No"/>
    <s v="Non-Travel"/>
    <n v="830"/>
    <x v="0"/>
    <n v="13"/>
    <n v="2"/>
    <s v="Life Sciences"/>
    <n v="1"/>
    <n v="1495"/>
    <n v="4"/>
    <x v="0"/>
    <n v="78"/>
    <n v="3"/>
    <n v="1"/>
    <x v="6"/>
    <x v="1"/>
    <s v="Married"/>
    <n v="2033"/>
    <n v="7103"/>
    <n v="1"/>
    <s v="Y"/>
    <s v="No"/>
    <n v="13"/>
    <n v="3"/>
    <n v="3"/>
    <n v="80"/>
    <n v="1"/>
    <n v="1"/>
    <n v="2"/>
    <n v="3"/>
    <n v="1"/>
    <n v="0"/>
    <n v="0"/>
    <n v="0"/>
    <x v="1"/>
    <x v="3"/>
    <x v="1"/>
  </r>
  <r>
    <n v="44"/>
    <s v="No"/>
    <s v="Travel_Frequently"/>
    <n v="1193"/>
    <x v="1"/>
    <n v="2"/>
    <n v="1"/>
    <s v="Medical"/>
    <n v="1"/>
    <n v="1496"/>
    <n v="2"/>
    <x v="1"/>
    <n v="86"/>
    <n v="3"/>
    <n v="3"/>
    <x v="3"/>
    <x v="2"/>
    <s v="Single"/>
    <n v="10209"/>
    <n v="19719"/>
    <n v="5"/>
    <s v="Y"/>
    <s v="Yes"/>
    <n v="18"/>
    <n v="3"/>
    <n v="2"/>
    <n v="80"/>
    <n v="0"/>
    <n v="16"/>
    <n v="2"/>
    <n v="2"/>
    <n v="2"/>
    <n v="2"/>
    <n v="2"/>
    <n v="2"/>
    <x v="1"/>
    <x v="0"/>
    <x v="1"/>
  </r>
  <r>
    <n v="29"/>
    <s v="No"/>
    <s v="Travel_Rarely"/>
    <n v="1246"/>
    <x v="0"/>
    <n v="19"/>
    <n v="3"/>
    <s v="Life Sciences"/>
    <n v="1"/>
    <n v="1497"/>
    <n v="3"/>
    <x v="1"/>
    <n v="77"/>
    <n v="2"/>
    <n v="2"/>
    <x v="0"/>
    <x v="2"/>
    <s v="Divorced"/>
    <n v="8620"/>
    <n v="23757"/>
    <n v="1"/>
    <s v="Y"/>
    <s v="No"/>
    <n v="14"/>
    <n v="3"/>
    <n v="3"/>
    <n v="80"/>
    <n v="2"/>
    <n v="10"/>
    <n v="3"/>
    <n v="3"/>
    <n v="10"/>
    <n v="7"/>
    <n v="0"/>
    <n v="4"/>
    <x v="1"/>
    <x v="2"/>
    <x v="0"/>
  </r>
  <r>
    <n v="30"/>
    <s v="No"/>
    <s v="Travel_Rarely"/>
    <n v="330"/>
    <x v="2"/>
    <n v="1"/>
    <n v="3"/>
    <s v="Life Sciences"/>
    <n v="1"/>
    <n v="1499"/>
    <n v="3"/>
    <x v="1"/>
    <n v="46"/>
    <n v="3"/>
    <n v="1"/>
    <x v="8"/>
    <x v="2"/>
    <s v="Divorced"/>
    <n v="2064"/>
    <n v="15428"/>
    <n v="0"/>
    <s v="Y"/>
    <s v="No"/>
    <n v="21"/>
    <n v="4"/>
    <n v="1"/>
    <n v="80"/>
    <n v="1"/>
    <n v="6"/>
    <n v="3"/>
    <n v="4"/>
    <n v="5"/>
    <n v="3"/>
    <n v="1"/>
    <n v="3"/>
    <x v="1"/>
    <x v="2"/>
    <x v="2"/>
  </r>
  <r>
    <n v="55"/>
    <s v="No"/>
    <s v="Travel_Rarely"/>
    <n v="1229"/>
    <x v="1"/>
    <n v="4"/>
    <n v="4"/>
    <s v="Life Sciences"/>
    <n v="1"/>
    <n v="1501"/>
    <n v="4"/>
    <x v="1"/>
    <n v="30"/>
    <n v="3"/>
    <n v="2"/>
    <x v="4"/>
    <x v="2"/>
    <s v="Married"/>
    <n v="4035"/>
    <n v="16143"/>
    <n v="0"/>
    <s v="Y"/>
    <s v="Yes"/>
    <n v="16"/>
    <n v="3"/>
    <n v="2"/>
    <n v="80"/>
    <n v="0"/>
    <n v="4"/>
    <n v="2"/>
    <n v="3"/>
    <n v="3"/>
    <n v="2"/>
    <n v="1"/>
    <n v="2"/>
    <x v="1"/>
    <x v="1"/>
    <x v="2"/>
  </r>
  <r>
    <n v="33"/>
    <s v="No"/>
    <s v="Travel_Rarely"/>
    <n v="1099"/>
    <x v="1"/>
    <n v="4"/>
    <n v="4"/>
    <s v="Medical"/>
    <n v="1"/>
    <n v="1502"/>
    <n v="1"/>
    <x v="0"/>
    <n v="82"/>
    <n v="2"/>
    <n v="1"/>
    <x v="2"/>
    <x v="1"/>
    <s v="Married"/>
    <n v="3838"/>
    <n v="8192"/>
    <n v="8"/>
    <s v="Y"/>
    <s v="No"/>
    <n v="11"/>
    <n v="3"/>
    <n v="4"/>
    <n v="80"/>
    <n v="0"/>
    <n v="8"/>
    <n v="5"/>
    <n v="3"/>
    <n v="5"/>
    <n v="4"/>
    <n v="0"/>
    <n v="2"/>
    <x v="1"/>
    <x v="2"/>
    <x v="2"/>
  </r>
  <r>
    <n v="47"/>
    <s v="No"/>
    <s v="Travel_Rarely"/>
    <n v="571"/>
    <x v="0"/>
    <n v="14"/>
    <n v="3"/>
    <s v="Medical"/>
    <n v="1"/>
    <n v="1503"/>
    <n v="3"/>
    <x v="0"/>
    <n v="78"/>
    <n v="3"/>
    <n v="2"/>
    <x v="0"/>
    <x v="2"/>
    <s v="Married"/>
    <n v="4591"/>
    <n v="24200"/>
    <n v="3"/>
    <s v="Y"/>
    <s v="Yes"/>
    <n v="17"/>
    <n v="3"/>
    <n v="3"/>
    <n v="80"/>
    <n v="1"/>
    <n v="11"/>
    <n v="4"/>
    <n v="2"/>
    <n v="5"/>
    <n v="4"/>
    <n v="1"/>
    <n v="2"/>
    <x v="1"/>
    <x v="1"/>
    <x v="2"/>
  </r>
  <r>
    <n v="28"/>
    <s v="Yes"/>
    <s v="Travel_Frequently"/>
    <n v="289"/>
    <x v="1"/>
    <n v="2"/>
    <n v="2"/>
    <s v="Medical"/>
    <n v="1"/>
    <n v="1504"/>
    <n v="3"/>
    <x v="1"/>
    <n v="38"/>
    <n v="2"/>
    <n v="1"/>
    <x v="2"/>
    <x v="3"/>
    <s v="Single"/>
    <n v="2561"/>
    <n v="5355"/>
    <n v="7"/>
    <s v="Y"/>
    <s v="No"/>
    <n v="11"/>
    <n v="3"/>
    <n v="3"/>
    <n v="80"/>
    <n v="0"/>
    <n v="8"/>
    <n v="2"/>
    <n v="2"/>
    <n v="0"/>
    <n v="0"/>
    <n v="0"/>
    <n v="0"/>
    <x v="0"/>
    <x v="2"/>
    <x v="1"/>
  </r>
  <r>
    <n v="28"/>
    <s v="No"/>
    <s v="Travel_Rarely"/>
    <n v="1423"/>
    <x v="1"/>
    <n v="1"/>
    <n v="3"/>
    <s v="Life Sciences"/>
    <n v="1"/>
    <n v="1506"/>
    <n v="1"/>
    <x v="1"/>
    <n v="72"/>
    <n v="2"/>
    <n v="1"/>
    <x v="1"/>
    <x v="2"/>
    <s v="Divorced"/>
    <n v="1563"/>
    <n v="12530"/>
    <n v="1"/>
    <s v="Y"/>
    <s v="No"/>
    <n v="14"/>
    <n v="3"/>
    <n v="4"/>
    <n v="80"/>
    <n v="1"/>
    <n v="1"/>
    <n v="2"/>
    <n v="1"/>
    <n v="1"/>
    <n v="0"/>
    <n v="0"/>
    <n v="0"/>
    <x v="1"/>
    <x v="2"/>
    <x v="1"/>
  </r>
  <r>
    <n v="28"/>
    <s v="No"/>
    <s v="Travel_Frequently"/>
    <n v="467"/>
    <x v="0"/>
    <n v="7"/>
    <n v="3"/>
    <s v="Life Sciences"/>
    <n v="1"/>
    <n v="1507"/>
    <n v="3"/>
    <x v="1"/>
    <n v="55"/>
    <n v="3"/>
    <n v="2"/>
    <x v="0"/>
    <x v="3"/>
    <s v="Single"/>
    <n v="4898"/>
    <n v="11827"/>
    <n v="0"/>
    <s v="Y"/>
    <s v="No"/>
    <n v="14"/>
    <n v="3"/>
    <n v="4"/>
    <n v="80"/>
    <n v="0"/>
    <n v="5"/>
    <n v="5"/>
    <n v="3"/>
    <n v="4"/>
    <n v="2"/>
    <n v="1"/>
    <n v="3"/>
    <x v="1"/>
    <x v="2"/>
    <x v="2"/>
  </r>
  <r>
    <n v="49"/>
    <s v="No"/>
    <s v="Travel_Rarely"/>
    <n v="271"/>
    <x v="1"/>
    <n v="3"/>
    <n v="2"/>
    <s v="Medical"/>
    <n v="1"/>
    <n v="1509"/>
    <n v="3"/>
    <x v="0"/>
    <n v="43"/>
    <n v="2"/>
    <n v="2"/>
    <x v="2"/>
    <x v="3"/>
    <s v="Married"/>
    <n v="4789"/>
    <n v="23070"/>
    <n v="4"/>
    <s v="Y"/>
    <s v="No"/>
    <n v="25"/>
    <n v="4"/>
    <n v="1"/>
    <n v="80"/>
    <n v="1"/>
    <n v="10"/>
    <n v="3"/>
    <n v="3"/>
    <n v="3"/>
    <n v="2"/>
    <n v="1"/>
    <n v="2"/>
    <x v="1"/>
    <x v="1"/>
    <x v="2"/>
  </r>
  <r>
    <n v="29"/>
    <s v="No"/>
    <s v="Travel_Frequently"/>
    <n v="410"/>
    <x v="1"/>
    <n v="2"/>
    <n v="1"/>
    <s v="Life Sciences"/>
    <n v="1"/>
    <n v="1513"/>
    <n v="4"/>
    <x v="0"/>
    <n v="97"/>
    <n v="3"/>
    <n v="1"/>
    <x v="2"/>
    <x v="1"/>
    <s v="Married"/>
    <n v="3180"/>
    <n v="4668"/>
    <n v="0"/>
    <s v="Y"/>
    <s v="No"/>
    <n v="13"/>
    <n v="3"/>
    <n v="3"/>
    <n v="80"/>
    <n v="3"/>
    <n v="4"/>
    <n v="3"/>
    <n v="3"/>
    <n v="3"/>
    <n v="2"/>
    <n v="0"/>
    <n v="2"/>
    <x v="1"/>
    <x v="2"/>
    <x v="2"/>
  </r>
  <r>
    <n v="28"/>
    <s v="No"/>
    <s v="Travel_Rarely"/>
    <n v="1083"/>
    <x v="1"/>
    <n v="29"/>
    <n v="1"/>
    <s v="Life Sciences"/>
    <n v="1"/>
    <n v="1514"/>
    <n v="3"/>
    <x v="1"/>
    <n v="96"/>
    <n v="1"/>
    <n v="2"/>
    <x v="3"/>
    <x v="1"/>
    <s v="Married"/>
    <n v="6549"/>
    <n v="3173"/>
    <n v="1"/>
    <s v="Y"/>
    <s v="No"/>
    <n v="14"/>
    <n v="3"/>
    <n v="2"/>
    <n v="80"/>
    <n v="2"/>
    <n v="8"/>
    <n v="2"/>
    <n v="2"/>
    <n v="8"/>
    <n v="6"/>
    <n v="1"/>
    <n v="7"/>
    <x v="1"/>
    <x v="2"/>
    <x v="0"/>
  </r>
  <r>
    <n v="33"/>
    <s v="No"/>
    <s v="Travel_Rarely"/>
    <n v="516"/>
    <x v="1"/>
    <n v="8"/>
    <n v="5"/>
    <s v="Life Sciences"/>
    <n v="1"/>
    <n v="1515"/>
    <n v="4"/>
    <x v="1"/>
    <n v="69"/>
    <n v="3"/>
    <n v="2"/>
    <x v="4"/>
    <x v="2"/>
    <s v="Single"/>
    <n v="6388"/>
    <n v="22049"/>
    <n v="2"/>
    <s v="Y"/>
    <s v="Yes"/>
    <n v="17"/>
    <n v="3"/>
    <n v="1"/>
    <n v="80"/>
    <n v="0"/>
    <n v="14"/>
    <n v="6"/>
    <n v="3"/>
    <n v="0"/>
    <n v="0"/>
    <n v="0"/>
    <n v="0"/>
    <x v="1"/>
    <x v="2"/>
    <x v="1"/>
  </r>
  <r>
    <n v="32"/>
    <s v="No"/>
    <s v="Travel_Rarely"/>
    <n v="495"/>
    <x v="1"/>
    <n v="10"/>
    <n v="3"/>
    <s v="Medical"/>
    <n v="1"/>
    <n v="1516"/>
    <n v="3"/>
    <x v="1"/>
    <n v="64"/>
    <n v="3"/>
    <n v="3"/>
    <x v="5"/>
    <x v="0"/>
    <s v="Single"/>
    <n v="11244"/>
    <n v="21072"/>
    <n v="2"/>
    <s v="Y"/>
    <s v="No"/>
    <n v="25"/>
    <n v="4"/>
    <n v="2"/>
    <n v="80"/>
    <n v="0"/>
    <n v="10"/>
    <n v="5"/>
    <n v="4"/>
    <n v="5"/>
    <n v="2"/>
    <n v="0"/>
    <n v="0"/>
    <x v="1"/>
    <x v="2"/>
    <x v="2"/>
  </r>
  <r>
    <n v="54"/>
    <s v="No"/>
    <s v="Travel_Frequently"/>
    <n v="1050"/>
    <x v="1"/>
    <n v="11"/>
    <n v="4"/>
    <s v="Medical"/>
    <n v="1"/>
    <n v="1520"/>
    <n v="2"/>
    <x v="0"/>
    <n v="87"/>
    <n v="3"/>
    <n v="4"/>
    <x v="5"/>
    <x v="0"/>
    <s v="Divorced"/>
    <n v="16032"/>
    <n v="24456"/>
    <n v="3"/>
    <s v="Y"/>
    <s v="No"/>
    <n v="20"/>
    <n v="4"/>
    <n v="1"/>
    <n v="80"/>
    <n v="1"/>
    <n v="26"/>
    <n v="2"/>
    <n v="3"/>
    <n v="14"/>
    <n v="9"/>
    <n v="1"/>
    <n v="12"/>
    <x v="1"/>
    <x v="1"/>
    <x v="3"/>
  </r>
  <r>
    <n v="29"/>
    <s v="Yes"/>
    <s v="Travel_Rarely"/>
    <n v="224"/>
    <x v="1"/>
    <n v="1"/>
    <n v="4"/>
    <s v="Technical Degree"/>
    <n v="1"/>
    <n v="1522"/>
    <n v="1"/>
    <x v="1"/>
    <n v="100"/>
    <n v="2"/>
    <n v="1"/>
    <x v="1"/>
    <x v="3"/>
    <s v="Single"/>
    <n v="2362"/>
    <n v="7568"/>
    <n v="6"/>
    <s v="Y"/>
    <s v="No"/>
    <n v="13"/>
    <n v="3"/>
    <n v="3"/>
    <n v="80"/>
    <n v="0"/>
    <n v="11"/>
    <n v="2"/>
    <n v="1"/>
    <n v="9"/>
    <n v="7"/>
    <n v="0"/>
    <n v="7"/>
    <x v="0"/>
    <x v="2"/>
    <x v="0"/>
  </r>
  <r>
    <n v="44"/>
    <s v="No"/>
    <s v="Travel_Rarely"/>
    <n v="136"/>
    <x v="1"/>
    <n v="28"/>
    <n v="3"/>
    <s v="Life Sciences"/>
    <n v="1"/>
    <n v="1523"/>
    <n v="4"/>
    <x v="1"/>
    <n v="32"/>
    <n v="3"/>
    <n v="4"/>
    <x v="7"/>
    <x v="3"/>
    <s v="Married"/>
    <n v="16328"/>
    <n v="22074"/>
    <n v="3"/>
    <s v="Y"/>
    <s v="No"/>
    <n v="13"/>
    <n v="3"/>
    <n v="3"/>
    <n v="80"/>
    <n v="1"/>
    <n v="24"/>
    <n v="1"/>
    <n v="4"/>
    <n v="20"/>
    <n v="6"/>
    <n v="14"/>
    <n v="17"/>
    <x v="1"/>
    <x v="0"/>
    <x v="3"/>
  </r>
  <r>
    <n v="39"/>
    <s v="No"/>
    <s v="Travel_Rarely"/>
    <n v="1089"/>
    <x v="1"/>
    <n v="6"/>
    <n v="3"/>
    <s v="Life Sciences"/>
    <n v="1"/>
    <n v="1525"/>
    <n v="2"/>
    <x v="0"/>
    <n v="32"/>
    <n v="3"/>
    <n v="3"/>
    <x v="3"/>
    <x v="1"/>
    <s v="Single"/>
    <n v="8376"/>
    <n v="9150"/>
    <n v="4"/>
    <s v="Y"/>
    <s v="No"/>
    <n v="18"/>
    <n v="3"/>
    <n v="4"/>
    <n v="80"/>
    <n v="0"/>
    <n v="9"/>
    <n v="3"/>
    <n v="3"/>
    <n v="2"/>
    <n v="0"/>
    <n v="2"/>
    <n v="2"/>
    <x v="1"/>
    <x v="0"/>
    <x v="1"/>
  </r>
  <r>
    <n v="46"/>
    <s v="No"/>
    <s v="Travel_Rarely"/>
    <n v="228"/>
    <x v="0"/>
    <n v="3"/>
    <n v="3"/>
    <s v="Life Sciences"/>
    <n v="1"/>
    <n v="1527"/>
    <n v="3"/>
    <x v="0"/>
    <n v="51"/>
    <n v="3"/>
    <n v="4"/>
    <x v="5"/>
    <x v="1"/>
    <s v="Married"/>
    <n v="16606"/>
    <n v="11380"/>
    <n v="8"/>
    <s v="Y"/>
    <s v="No"/>
    <n v="12"/>
    <n v="3"/>
    <n v="4"/>
    <n v="80"/>
    <n v="1"/>
    <n v="23"/>
    <n v="2"/>
    <n v="4"/>
    <n v="13"/>
    <n v="12"/>
    <n v="5"/>
    <n v="1"/>
    <x v="1"/>
    <x v="1"/>
    <x v="3"/>
  </r>
  <r>
    <n v="35"/>
    <s v="No"/>
    <s v="Travel_Rarely"/>
    <n v="1029"/>
    <x v="1"/>
    <n v="16"/>
    <n v="3"/>
    <s v="Life Sciences"/>
    <n v="1"/>
    <n v="1529"/>
    <n v="4"/>
    <x v="0"/>
    <n v="91"/>
    <n v="2"/>
    <n v="3"/>
    <x v="4"/>
    <x v="1"/>
    <s v="Single"/>
    <n v="8606"/>
    <n v="21195"/>
    <n v="1"/>
    <s v="Y"/>
    <s v="No"/>
    <n v="19"/>
    <n v="3"/>
    <n v="4"/>
    <n v="80"/>
    <n v="0"/>
    <n v="11"/>
    <n v="3"/>
    <n v="1"/>
    <n v="11"/>
    <n v="8"/>
    <n v="3"/>
    <n v="3"/>
    <x v="1"/>
    <x v="2"/>
    <x v="3"/>
  </r>
  <r>
    <n v="23"/>
    <s v="No"/>
    <s v="Travel_Rarely"/>
    <n v="507"/>
    <x v="1"/>
    <n v="20"/>
    <n v="1"/>
    <s v="Life Sciences"/>
    <n v="1"/>
    <n v="1533"/>
    <n v="1"/>
    <x v="1"/>
    <n v="97"/>
    <n v="3"/>
    <n v="2"/>
    <x v="2"/>
    <x v="2"/>
    <s v="Single"/>
    <n v="2272"/>
    <n v="24812"/>
    <n v="0"/>
    <s v="Y"/>
    <s v="No"/>
    <n v="14"/>
    <n v="3"/>
    <n v="2"/>
    <n v="80"/>
    <n v="0"/>
    <n v="5"/>
    <n v="2"/>
    <n v="3"/>
    <n v="4"/>
    <n v="3"/>
    <n v="1"/>
    <n v="2"/>
    <x v="1"/>
    <x v="3"/>
    <x v="2"/>
  </r>
  <r>
    <n v="40"/>
    <s v="Yes"/>
    <s v="Travel_Rarely"/>
    <n v="676"/>
    <x v="1"/>
    <n v="9"/>
    <n v="4"/>
    <s v="Life Sciences"/>
    <n v="1"/>
    <n v="1534"/>
    <n v="4"/>
    <x v="1"/>
    <n v="86"/>
    <n v="3"/>
    <n v="1"/>
    <x v="2"/>
    <x v="3"/>
    <s v="Single"/>
    <n v="2018"/>
    <n v="21831"/>
    <n v="3"/>
    <s v="Y"/>
    <s v="No"/>
    <n v="14"/>
    <n v="3"/>
    <n v="2"/>
    <n v="80"/>
    <n v="0"/>
    <n v="15"/>
    <n v="3"/>
    <n v="1"/>
    <n v="5"/>
    <n v="4"/>
    <n v="1"/>
    <n v="0"/>
    <x v="0"/>
    <x v="0"/>
    <x v="2"/>
  </r>
  <r>
    <n v="34"/>
    <s v="No"/>
    <s v="Travel_Rarely"/>
    <n v="971"/>
    <x v="0"/>
    <n v="1"/>
    <n v="3"/>
    <s v="Technical Degree"/>
    <n v="1"/>
    <n v="1535"/>
    <n v="4"/>
    <x v="1"/>
    <n v="64"/>
    <n v="2"/>
    <n v="3"/>
    <x v="0"/>
    <x v="2"/>
    <s v="Married"/>
    <n v="7083"/>
    <n v="12288"/>
    <n v="1"/>
    <s v="Y"/>
    <s v="Yes"/>
    <n v="14"/>
    <n v="3"/>
    <n v="4"/>
    <n v="80"/>
    <n v="0"/>
    <n v="10"/>
    <n v="3"/>
    <n v="3"/>
    <n v="10"/>
    <n v="9"/>
    <n v="8"/>
    <n v="6"/>
    <x v="1"/>
    <x v="2"/>
    <x v="0"/>
  </r>
  <r>
    <n v="31"/>
    <s v="Yes"/>
    <s v="Travel_Frequently"/>
    <n v="561"/>
    <x v="1"/>
    <n v="3"/>
    <n v="3"/>
    <s v="Life Sciences"/>
    <n v="1"/>
    <n v="1537"/>
    <n v="4"/>
    <x v="0"/>
    <n v="33"/>
    <n v="3"/>
    <n v="1"/>
    <x v="1"/>
    <x v="2"/>
    <s v="Single"/>
    <n v="4084"/>
    <n v="4156"/>
    <n v="1"/>
    <s v="Y"/>
    <s v="No"/>
    <n v="12"/>
    <n v="3"/>
    <n v="1"/>
    <n v="80"/>
    <n v="0"/>
    <n v="7"/>
    <n v="2"/>
    <n v="1"/>
    <n v="7"/>
    <n v="2"/>
    <n v="7"/>
    <n v="7"/>
    <x v="0"/>
    <x v="2"/>
    <x v="0"/>
  </r>
  <r>
    <n v="50"/>
    <s v="No"/>
    <s v="Travel_Frequently"/>
    <n v="333"/>
    <x v="1"/>
    <n v="22"/>
    <n v="5"/>
    <s v="Medical"/>
    <n v="1"/>
    <n v="1539"/>
    <n v="3"/>
    <x v="1"/>
    <n v="88"/>
    <n v="1"/>
    <n v="4"/>
    <x v="7"/>
    <x v="0"/>
    <s v="Single"/>
    <n v="14411"/>
    <n v="24450"/>
    <n v="1"/>
    <s v="Y"/>
    <s v="Yes"/>
    <n v="13"/>
    <n v="3"/>
    <n v="4"/>
    <n v="80"/>
    <n v="0"/>
    <n v="32"/>
    <n v="2"/>
    <n v="3"/>
    <n v="32"/>
    <n v="6"/>
    <n v="13"/>
    <n v="9"/>
    <x v="1"/>
    <x v="1"/>
    <x v="3"/>
  </r>
  <r>
    <n v="34"/>
    <s v="No"/>
    <s v="Travel_Rarely"/>
    <n v="1440"/>
    <x v="0"/>
    <n v="7"/>
    <n v="2"/>
    <s v="Technical Degree"/>
    <n v="1"/>
    <n v="1541"/>
    <n v="2"/>
    <x v="1"/>
    <n v="55"/>
    <n v="3"/>
    <n v="1"/>
    <x v="6"/>
    <x v="2"/>
    <s v="Married"/>
    <n v="2308"/>
    <n v="4944"/>
    <n v="0"/>
    <s v="Y"/>
    <s v="Yes"/>
    <n v="25"/>
    <n v="4"/>
    <n v="2"/>
    <n v="80"/>
    <n v="1"/>
    <n v="12"/>
    <n v="4"/>
    <n v="3"/>
    <n v="11"/>
    <n v="10"/>
    <n v="5"/>
    <n v="7"/>
    <x v="1"/>
    <x v="2"/>
    <x v="3"/>
  </r>
  <r>
    <n v="42"/>
    <s v="No"/>
    <s v="Travel_Rarely"/>
    <n v="1210"/>
    <x v="1"/>
    <n v="2"/>
    <n v="3"/>
    <s v="Medical"/>
    <n v="1"/>
    <n v="1542"/>
    <n v="3"/>
    <x v="1"/>
    <n v="68"/>
    <n v="2"/>
    <n v="1"/>
    <x v="2"/>
    <x v="1"/>
    <s v="Married"/>
    <n v="4841"/>
    <n v="24052"/>
    <n v="4"/>
    <s v="Y"/>
    <s v="No"/>
    <n v="14"/>
    <n v="3"/>
    <n v="2"/>
    <n v="80"/>
    <n v="1"/>
    <n v="4"/>
    <n v="3"/>
    <n v="3"/>
    <n v="1"/>
    <n v="0"/>
    <n v="0"/>
    <n v="0"/>
    <x v="1"/>
    <x v="0"/>
    <x v="1"/>
  </r>
  <r>
    <n v="37"/>
    <s v="No"/>
    <s v="Travel_Rarely"/>
    <n v="674"/>
    <x v="1"/>
    <n v="13"/>
    <n v="3"/>
    <s v="Medical"/>
    <n v="1"/>
    <n v="1543"/>
    <n v="1"/>
    <x v="1"/>
    <n v="47"/>
    <n v="3"/>
    <n v="2"/>
    <x v="1"/>
    <x v="0"/>
    <s v="Married"/>
    <n v="4285"/>
    <n v="3031"/>
    <n v="1"/>
    <s v="Y"/>
    <s v="No"/>
    <n v="17"/>
    <n v="3"/>
    <n v="1"/>
    <n v="80"/>
    <n v="0"/>
    <n v="10"/>
    <n v="2"/>
    <n v="3"/>
    <n v="10"/>
    <n v="8"/>
    <n v="3"/>
    <n v="7"/>
    <x v="1"/>
    <x v="0"/>
    <x v="0"/>
  </r>
  <r>
    <n v="29"/>
    <s v="No"/>
    <s v="Travel_Rarely"/>
    <n v="441"/>
    <x v="1"/>
    <n v="8"/>
    <n v="1"/>
    <s v="Other"/>
    <n v="1"/>
    <n v="1544"/>
    <n v="3"/>
    <x v="0"/>
    <n v="39"/>
    <n v="1"/>
    <n v="2"/>
    <x v="4"/>
    <x v="3"/>
    <s v="Married"/>
    <n v="9715"/>
    <n v="7288"/>
    <n v="3"/>
    <s v="Y"/>
    <s v="No"/>
    <n v="13"/>
    <n v="3"/>
    <n v="3"/>
    <n v="80"/>
    <n v="1"/>
    <n v="9"/>
    <n v="3"/>
    <n v="3"/>
    <n v="7"/>
    <n v="7"/>
    <n v="0"/>
    <n v="7"/>
    <x v="1"/>
    <x v="2"/>
    <x v="0"/>
  </r>
  <r>
    <n v="33"/>
    <s v="No"/>
    <s v="Travel_Rarely"/>
    <n v="575"/>
    <x v="1"/>
    <n v="25"/>
    <n v="3"/>
    <s v="Life Sciences"/>
    <n v="1"/>
    <n v="1545"/>
    <n v="4"/>
    <x v="1"/>
    <n v="44"/>
    <n v="2"/>
    <n v="2"/>
    <x v="3"/>
    <x v="1"/>
    <s v="Single"/>
    <n v="4320"/>
    <n v="24152"/>
    <n v="1"/>
    <s v="Y"/>
    <s v="No"/>
    <n v="13"/>
    <n v="3"/>
    <n v="4"/>
    <n v="80"/>
    <n v="0"/>
    <n v="5"/>
    <n v="2"/>
    <n v="3"/>
    <n v="5"/>
    <n v="3"/>
    <n v="0"/>
    <n v="2"/>
    <x v="1"/>
    <x v="2"/>
    <x v="2"/>
  </r>
  <r>
    <n v="45"/>
    <s v="No"/>
    <s v="Travel_Rarely"/>
    <n v="950"/>
    <x v="1"/>
    <n v="28"/>
    <n v="3"/>
    <s v="Technical Degree"/>
    <n v="1"/>
    <n v="1546"/>
    <n v="4"/>
    <x v="1"/>
    <n v="97"/>
    <n v="3"/>
    <n v="1"/>
    <x v="1"/>
    <x v="0"/>
    <s v="Married"/>
    <n v="2132"/>
    <n v="4585"/>
    <n v="4"/>
    <s v="Y"/>
    <s v="No"/>
    <n v="20"/>
    <n v="4"/>
    <n v="4"/>
    <n v="80"/>
    <n v="1"/>
    <n v="8"/>
    <n v="3"/>
    <n v="3"/>
    <n v="5"/>
    <n v="4"/>
    <n v="0"/>
    <n v="3"/>
    <x v="1"/>
    <x v="0"/>
    <x v="2"/>
  </r>
  <r>
    <n v="42"/>
    <s v="No"/>
    <s v="Travel_Frequently"/>
    <n v="288"/>
    <x v="1"/>
    <n v="2"/>
    <n v="3"/>
    <s v="Life Sciences"/>
    <n v="1"/>
    <n v="1547"/>
    <n v="4"/>
    <x v="1"/>
    <n v="40"/>
    <n v="3"/>
    <n v="3"/>
    <x v="4"/>
    <x v="0"/>
    <s v="Married"/>
    <n v="10124"/>
    <n v="18611"/>
    <n v="2"/>
    <s v="Y"/>
    <s v="Yes"/>
    <n v="14"/>
    <n v="3"/>
    <n v="3"/>
    <n v="80"/>
    <n v="1"/>
    <n v="24"/>
    <n v="3"/>
    <n v="1"/>
    <n v="20"/>
    <n v="8"/>
    <n v="13"/>
    <n v="9"/>
    <x v="1"/>
    <x v="0"/>
    <x v="3"/>
  </r>
  <r>
    <n v="40"/>
    <s v="No"/>
    <s v="Travel_Rarely"/>
    <n v="1342"/>
    <x v="0"/>
    <n v="9"/>
    <n v="2"/>
    <s v="Medical"/>
    <n v="1"/>
    <n v="1548"/>
    <n v="1"/>
    <x v="1"/>
    <n v="47"/>
    <n v="3"/>
    <n v="2"/>
    <x v="0"/>
    <x v="3"/>
    <s v="Married"/>
    <n v="5473"/>
    <n v="19345"/>
    <n v="0"/>
    <s v="Y"/>
    <s v="No"/>
    <n v="12"/>
    <n v="3"/>
    <n v="4"/>
    <n v="80"/>
    <n v="0"/>
    <n v="9"/>
    <n v="5"/>
    <n v="4"/>
    <n v="8"/>
    <n v="4"/>
    <n v="7"/>
    <n v="1"/>
    <x v="1"/>
    <x v="0"/>
    <x v="0"/>
  </r>
  <r>
    <n v="33"/>
    <s v="No"/>
    <s v="Travel_Rarely"/>
    <n v="589"/>
    <x v="1"/>
    <n v="28"/>
    <n v="4"/>
    <s v="Life Sciences"/>
    <n v="1"/>
    <n v="1549"/>
    <n v="2"/>
    <x v="1"/>
    <n v="79"/>
    <n v="3"/>
    <n v="2"/>
    <x v="2"/>
    <x v="2"/>
    <s v="Married"/>
    <n v="5207"/>
    <n v="22949"/>
    <n v="1"/>
    <s v="Y"/>
    <s v="Yes"/>
    <n v="12"/>
    <n v="3"/>
    <n v="2"/>
    <n v="80"/>
    <n v="1"/>
    <n v="15"/>
    <n v="3"/>
    <n v="3"/>
    <n v="15"/>
    <n v="14"/>
    <n v="5"/>
    <n v="7"/>
    <x v="1"/>
    <x v="2"/>
    <x v="3"/>
  </r>
  <r>
    <n v="40"/>
    <s v="No"/>
    <s v="Travel_Rarely"/>
    <n v="898"/>
    <x v="2"/>
    <n v="6"/>
    <n v="2"/>
    <s v="Medical"/>
    <n v="1"/>
    <n v="1550"/>
    <n v="3"/>
    <x v="1"/>
    <n v="38"/>
    <n v="3"/>
    <n v="4"/>
    <x v="5"/>
    <x v="0"/>
    <s v="Single"/>
    <n v="16437"/>
    <n v="17381"/>
    <n v="1"/>
    <s v="Y"/>
    <s v="Yes"/>
    <n v="21"/>
    <n v="4"/>
    <n v="4"/>
    <n v="80"/>
    <n v="0"/>
    <n v="21"/>
    <n v="2"/>
    <n v="3"/>
    <n v="21"/>
    <n v="7"/>
    <n v="7"/>
    <n v="7"/>
    <x v="1"/>
    <x v="0"/>
    <x v="3"/>
  </r>
  <r>
    <n v="24"/>
    <s v="No"/>
    <s v="Travel_Rarely"/>
    <n v="350"/>
    <x v="1"/>
    <n v="21"/>
    <n v="2"/>
    <s v="Technical Degree"/>
    <n v="1"/>
    <n v="1551"/>
    <n v="3"/>
    <x v="1"/>
    <n v="57"/>
    <n v="2"/>
    <n v="1"/>
    <x v="2"/>
    <x v="3"/>
    <s v="Divorced"/>
    <n v="2296"/>
    <n v="10036"/>
    <n v="0"/>
    <s v="Y"/>
    <s v="No"/>
    <n v="14"/>
    <n v="3"/>
    <n v="2"/>
    <n v="80"/>
    <n v="3"/>
    <n v="2"/>
    <n v="3"/>
    <n v="3"/>
    <n v="1"/>
    <n v="1"/>
    <n v="0"/>
    <n v="0"/>
    <x v="1"/>
    <x v="3"/>
    <x v="1"/>
  </r>
  <r>
    <n v="40"/>
    <s v="No"/>
    <s v="Non-Travel"/>
    <n v="1142"/>
    <x v="1"/>
    <n v="8"/>
    <n v="2"/>
    <s v="Life Sciences"/>
    <n v="1"/>
    <n v="1552"/>
    <n v="4"/>
    <x v="1"/>
    <n v="72"/>
    <n v="3"/>
    <n v="2"/>
    <x v="4"/>
    <x v="0"/>
    <s v="Divorced"/>
    <n v="4069"/>
    <n v="8841"/>
    <n v="3"/>
    <s v="Y"/>
    <s v="Yes"/>
    <n v="18"/>
    <n v="3"/>
    <n v="3"/>
    <n v="80"/>
    <n v="0"/>
    <n v="8"/>
    <n v="2"/>
    <n v="3"/>
    <n v="2"/>
    <n v="2"/>
    <n v="2"/>
    <n v="2"/>
    <x v="1"/>
    <x v="0"/>
    <x v="1"/>
  </r>
  <r>
    <n v="45"/>
    <s v="No"/>
    <s v="Travel_Rarely"/>
    <n v="538"/>
    <x v="1"/>
    <n v="1"/>
    <n v="4"/>
    <s v="Technical Degree"/>
    <n v="1"/>
    <n v="1553"/>
    <n v="1"/>
    <x v="1"/>
    <n v="66"/>
    <n v="3"/>
    <n v="3"/>
    <x v="4"/>
    <x v="1"/>
    <s v="Divorced"/>
    <n v="7441"/>
    <n v="20933"/>
    <n v="1"/>
    <s v="Y"/>
    <s v="No"/>
    <n v="12"/>
    <n v="3"/>
    <n v="1"/>
    <n v="80"/>
    <n v="3"/>
    <n v="10"/>
    <n v="4"/>
    <n v="3"/>
    <n v="10"/>
    <n v="8"/>
    <n v="7"/>
    <n v="7"/>
    <x v="1"/>
    <x v="0"/>
    <x v="0"/>
  </r>
  <r>
    <n v="35"/>
    <s v="No"/>
    <s v="Travel_Rarely"/>
    <n v="1402"/>
    <x v="0"/>
    <n v="28"/>
    <n v="4"/>
    <s v="Life Sciences"/>
    <n v="1"/>
    <n v="1554"/>
    <n v="2"/>
    <x v="0"/>
    <n v="98"/>
    <n v="2"/>
    <n v="1"/>
    <x v="6"/>
    <x v="2"/>
    <s v="Married"/>
    <n v="2430"/>
    <n v="26204"/>
    <n v="0"/>
    <s v="Y"/>
    <s v="No"/>
    <n v="23"/>
    <n v="4"/>
    <n v="1"/>
    <n v="80"/>
    <n v="2"/>
    <n v="6"/>
    <n v="5"/>
    <n v="3"/>
    <n v="5"/>
    <n v="3"/>
    <n v="4"/>
    <n v="2"/>
    <x v="1"/>
    <x v="2"/>
    <x v="2"/>
  </r>
  <r>
    <n v="32"/>
    <s v="No"/>
    <s v="Travel_Rarely"/>
    <n v="824"/>
    <x v="1"/>
    <n v="5"/>
    <n v="2"/>
    <s v="Life Sciences"/>
    <n v="1"/>
    <n v="1555"/>
    <n v="4"/>
    <x v="0"/>
    <n v="67"/>
    <n v="2"/>
    <n v="2"/>
    <x v="1"/>
    <x v="1"/>
    <s v="Married"/>
    <n v="5878"/>
    <n v="15624"/>
    <n v="3"/>
    <s v="Y"/>
    <s v="No"/>
    <n v="12"/>
    <n v="3"/>
    <n v="1"/>
    <n v="80"/>
    <n v="1"/>
    <n v="12"/>
    <n v="2"/>
    <n v="3"/>
    <n v="7"/>
    <n v="1"/>
    <n v="2"/>
    <n v="5"/>
    <x v="1"/>
    <x v="2"/>
    <x v="0"/>
  </r>
  <r>
    <n v="36"/>
    <s v="No"/>
    <s v="Travel_Rarely"/>
    <n v="1157"/>
    <x v="0"/>
    <n v="2"/>
    <n v="4"/>
    <s v="Life Sciences"/>
    <n v="1"/>
    <n v="1556"/>
    <n v="3"/>
    <x v="1"/>
    <n v="70"/>
    <n v="3"/>
    <n v="1"/>
    <x v="6"/>
    <x v="0"/>
    <s v="Single"/>
    <n v="2644"/>
    <n v="17001"/>
    <n v="3"/>
    <s v="Y"/>
    <s v="Yes"/>
    <n v="21"/>
    <n v="4"/>
    <n v="4"/>
    <n v="80"/>
    <n v="0"/>
    <n v="7"/>
    <n v="3"/>
    <n v="2"/>
    <n v="3"/>
    <n v="2"/>
    <n v="1"/>
    <n v="2"/>
    <x v="1"/>
    <x v="0"/>
    <x v="2"/>
  </r>
  <r>
    <n v="48"/>
    <s v="No"/>
    <s v="Travel_Rarely"/>
    <n v="492"/>
    <x v="0"/>
    <n v="16"/>
    <n v="4"/>
    <s v="Life Sciences"/>
    <n v="1"/>
    <n v="1557"/>
    <n v="3"/>
    <x v="0"/>
    <n v="96"/>
    <n v="3"/>
    <n v="2"/>
    <x v="0"/>
    <x v="2"/>
    <s v="Divorced"/>
    <n v="6439"/>
    <n v="13693"/>
    <n v="8"/>
    <s v="Y"/>
    <s v="No"/>
    <n v="14"/>
    <n v="3"/>
    <n v="3"/>
    <n v="80"/>
    <n v="1"/>
    <n v="18"/>
    <n v="2"/>
    <n v="3"/>
    <n v="8"/>
    <n v="7"/>
    <n v="7"/>
    <n v="7"/>
    <x v="1"/>
    <x v="1"/>
    <x v="0"/>
  </r>
  <r>
    <n v="29"/>
    <s v="No"/>
    <s v="Travel_Rarely"/>
    <n v="598"/>
    <x v="1"/>
    <n v="9"/>
    <n v="3"/>
    <s v="Life Sciences"/>
    <n v="1"/>
    <n v="1558"/>
    <n v="3"/>
    <x v="1"/>
    <n v="91"/>
    <n v="4"/>
    <n v="1"/>
    <x v="1"/>
    <x v="2"/>
    <s v="Married"/>
    <n v="2451"/>
    <n v="22376"/>
    <n v="6"/>
    <s v="Y"/>
    <s v="No"/>
    <n v="18"/>
    <n v="3"/>
    <n v="1"/>
    <n v="80"/>
    <n v="2"/>
    <n v="5"/>
    <n v="2"/>
    <n v="2"/>
    <n v="1"/>
    <n v="0"/>
    <n v="0"/>
    <n v="0"/>
    <x v="1"/>
    <x v="2"/>
    <x v="1"/>
  </r>
  <r>
    <n v="33"/>
    <s v="No"/>
    <s v="Travel_Rarely"/>
    <n v="1242"/>
    <x v="0"/>
    <n v="8"/>
    <n v="4"/>
    <s v="Life Sciences"/>
    <n v="1"/>
    <n v="1560"/>
    <n v="1"/>
    <x v="1"/>
    <n v="46"/>
    <n v="3"/>
    <n v="2"/>
    <x v="0"/>
    <x v="3"/>
    <s v="Married"/>
    <n v="6392"/>
    <n v="10589"/>
    <n v="2"/>
    <s v="Y"/>
    <s v="No"/>
    <n v="13"/>
    <n v="3"/>
    <n v="4"/>
    <n v="80"/>
    <n v="1"/>
    <n v="8"/>
    <n v="6"/>
    <n v="1"/>
    <n v="2"/>
    <n v="2"/>
    <n v="2"/>
    <n v="2"/>
    <x v="1"/>
    <x v="2"/>
    <x v="1"/>
  </r>
  <r>
    <n v="30"/>
    <s v="Yes"/>
    <s v="Travel_Rarely"/>
    <n v="740"/>
    <x v="0"/>
    <n v="1"/>
    <n v="3"/>
    <s v="Life Sciences"/>
    <n v="1"/>
    <n v="1562"/>
    <n v="2"/>
    <x v="1"/>
    <n v="64"/>
    <n v="2"/>
    <n v="2"/>
    <x v="0"/>
    <x v="3"/>
    <s v="Married"/>
    <n v="9714"/>
    <n v="5323"/>
    <n v="1"/>
    <s v="Y"/>
    <s v="No"/>
    <n v="11"/>
    <n v="3"/>
    <n v="4"/>
    <n v="80"/>
    <n v="1"/>
    <n v="10"/>
    <n v="4"/>
    <n v="3"/>
    <n v="10"/>
    <n v="8"/>
    <n v="6"/>
    <n v="7"/>
    <x v="0"/>
    <x v="2"/>
    <x v="0"/>
  </r>
  <r>
    <n v="38"/>
    <s v="No"/>
    <s v="Travel_Frequently"/>
    <n v="888"/>
    <x v="2"/>
    <n v="10"/>
    <n v="4"/>
    <s v="Human Resources"/>
    <n v="1"/>
    <n v="1563"/>
    <n v="3"/>
    <x v="1"/>
    <n v="71"/>
    <n v="3"/>
    <n v="2"/>
    <x v="8"/>
    <x v="2"/>
    <s v="Married"/>
    <n v="6077"/>
    <n v="14814"/>
    <n v="3"/>
    <s v="Y"/>
    <s v="No"/>
    <n v="11"/>
    <n v="3"/>
    <n v="3"/>
    <n v="80"/>
    <n v="0"/>
    <n v="10"/>
    <n v="2"/>
    <n v="3"/>
    <n v="6"/>
    <n v="3"/>
    <n v="1"/>
    <n v="2"/>
    <x v="1"/>
    <x v="0"/>
    <x v="0"/>
  </r>
  <r>
    <n v="35"/>
    <s v="No"/>
    <s v="Travel_Rarely"/>
    <n v="992"/>
    <x v="1"/>
    <n v="1"/>
    <n v="3"/>
    <s v="Medical"/>
    <n v="1"/>
    <n v="1564"/>
    <n v="4"/>
    <x v="1"/>
    <n v="68"/>
    <n v="2"/>
    <n v="1"/>
    <x v="2"/>
    <x v="3"/>
    <s v="Single"/>
    <n v="2450"/>
    <n v="21731"/>
    <n v="1"/>
    <s v="Y"/>
    <s v="No"/>
    <n v="19"/>
    <n v="3"/>
    <n v="2"/>
    <n v="80"/>
    <n v="0"/>
    <n v="3"/>
    <n v="3"/>
    <n v="3"/>
    <n v="3"/>
    <n v="0"/>
    <n v="1"/>
    <n v="2"/>
    <x v="1"/>
    <x v="2"/>
    <x v="2"/>
  </r>
  <r>
    <n v="30"/>
    <s v="No"/>
    <s v="Travel_Rarely"/>
    <n v="1288"/>
    <x v="0"/>
    <n v="29"/>
    <n v="4"/>
    <s v="Technical Degree"/>
    <n v="1"/>
    <n v="1568"/>
    <n v="3"/>
    <x v="1"/>
    <n v="33"/>
    <n v="3"/>
    <n v="3"/>
    <x v="0"/>
    <x v="1"/>
    <s v="Married"/>
    <n v="9250"/>
    <n v="17799"/>
    <n v="3"/>
    <s v="Y"/>
    <s v="No"/>
    <n v="12"/>
    <n v="3"/>
    <n v="2"/>
    <n v="80"/>
    <n v="1"/>
    <n v="9"/>
    <n v="3"/>
    <n v="3"/>
    <n v="4"/>
    <n v="2"/>
    <n v="1"/>
    <n v="3"/>
    <x v="1"/>
    <x v="2"/>
    <x v="2"/>
  </r>
  <r>
    <n v="35"/>
    <s v="Yes"/>
    <s v="Travel_Rarely"/>
    <n v="104"/>
    <x v="1"/>
    <n v="2"/>
    <n v="3"/>
    <s v="Life Sciences"/>
    <n v="1"/>
    <n v="1569"/>
    <n v="1"/>
    <x v="0"/>
    <n v="69"/>
    <n v="3"/>
    <n v="1"/>
    <x v="2"/>
    <x v="3"/>
    <s v="Divorced"/>
    <n v="2074"/>
    <n v="26619"/>
    <n v="1"/>
    <s v="Y"/>
    <s v="Yes"/>
    <n v="12"/>
    <n v="3"/>
    <n v="4"/>
    <n v="80"/>
    <n v="1"/>
    <n v="1"/>
    <n v="2"/>
    <n v="3"/>
    <n v="1"/>
    <n v="0"/>
    <n v="0"/>
    <n v="0"/>
    <x v="0"/>
    <x v="2"/>
    <x v="1"/>
  </r>
  <r>
    <n v="53"/>
    <s v="Yes"/>
    <s v="Travel_Rarely"/>
    <n v="607"/>
    <x v="1"/>
    <n v="2"/>
    <n v="5"/>
    <s v="Technical Degree"/>
    <n v="1"/>
    <n v="1572"/>
    <n v="3"/>
    <x v="0"/>
    <n v="78"/>
    <n v="2"/>
    <n v="3"/>
    <x v="3"/>
    <x v="0"/>
    <s v="Married"/>
    <n v="10169"/>
    <n v="14618"/>
    <n v="0"/>
    <s v="Y"/>
    <s v="No"/>
    <n v="16"/>
    <n v="3"/>
    <n v="2"/>
    <n v="80"/>
    <n v="1"/>
    <n v="34"/>
    <n v="4"/>
    <n v="3"/>
    <n v="33"/>
    <n v="7"/>
    <n v="1"/>
    <n v="9"/>
    <x v="0"/>
    <x v="1"/>
    <x v="3"/>
  </r>
  <r>
    <n v="38"/>
    <s v="Yes"/>
    <s v="Travel_Rarely"/>
    <n v="903"/>
    <x v="1"/>
    <n v="2"/>
    <n v="3"/>
    <s v="Medical"/>
    <n v="1"/>
    <n v="1573"/>
    <n v="3"/>
    <x v="1"/>
    <n v="81"/>
    <n v="3"/>
    <n v="2"/>
    <x v="3"/>
    <x v="1"/>
    <s v="Married"/>
    <n v="4855"/>
    <n v="7653"/>
    <n v="4"/>
    <s v="Y"/>
    <s v="No"/>
    <n v="11"/>
    <n v="3"/>
    <n v="1"/>
    <n v="80"/>
    <n v="2"/>
    <n v="7"/>
    <n v="2"/>
    <n v="3"/>
    <n v="5"/>
    <n v="2"/>
    <n v="1"/>
    <n v="4"/>
    <x v="0"/>
    <x v="0"/>
    <x v="2"/>
  </r>
  <r>
    <n v="32"/>
    <s v="No"/>
    <s v="Non-Travel"/>
    <n v="1200"/>
    <x v="1"/>
    <n v="1"/>
    <n v="4"/>
    <s v="Technical Degree"/>
    <n v="1"/>
    <n v="1574"/>
    <n v="4"/>
    <x v="1"/>
    <n v="62"/>
    <n v="3"/>
    <n v="2"/>
    <x v="1"/>
    <x v="3"/>
    <s v="Married"/>
    <n v="4087"/>
    <n v="25174"/>
    <n v="4"/>
    <s v="Y"/>
    <s v="No"/>
    <n v="14"/>
    <n v="3"/>
    <n v="2"/>
    <n v="80"/>
    <n v="1"/>
    <n v="9"/>
    <n v="3"/>
    <n v="2"/>
    <n v="6"/>
    <n v="5"/>
    <n v="1"/>
    <n v="2"/>
    <x v="1"/>
    <x v="2"/>
    <x v="0"/>
  </r>
  <r>
    <n v="48"/>
    <s v="No"/>
    <s v="Travel_Rarely"/>
    <n v="1108"/>
    <x v="1"/>
    <n v="15"/>
    <n v="4"/>
    <s v="Other"/>
    <n v="1"/>
    <n v="1576"/>
    <n v="3"/>
    <x v="0"/>
    <n v="65"/>
    <n v="3"/>
    <n v="1"/>
    <x v="1"/>
    <x v="3"/>
    <s v="Married"/>
    <n v="2367"/>
    <n v="16530"/>
    <n v="8"/>
    <s v="Y"/>
    <s v="No"/>
    <n v="12"/>
    <n v="3"/>
    <n v="4"/>
    <n v="80"/>
    <n v="1"/>
    <n v="10"/>
    <n v="3"/>
    <n v="2"/>
    <n v="8"/>
    <n v="2"/>
    <n v="7"/>
    <n v="6"/>
    <x v="1"/>
    <x v="1"/>
    <x v="0"/>
  </r>
  <r>
    <n v="34"/>
    <s v="No"/>
    <s v="Travel_Rarely"/>
    <n v="479"/>
    <x v="1"/>
    <n v="7"/>
    <n v="4"/>
    <s v="Medical"/>
    <n v="1"/>
    <n v="1577"/>
    <n v="1"/>
    <x v="1"/>
    <n v="35"/>
    <n v="3"/>
    <n v="1"/>
    <x v="1"/>
    <x v="0"/>
    <s v="Single"/>
    <n v="2972"/>
    <n v="22061"/>
    <n v="1"/>
    <s v="Y"/>
    <s v="No"/>
    <n v="13"/>
    <n v="3"/>
    <n v="3"/>
    <n v="80"/>
    <n v="0"/>
    <n v="1"/>
    <n v="4"/>
    <n v="1"/>
    <n v="1"/>
    <n v="0"/>
    <n v="0"/>
    <n v="0"/>
    <x v="1"/>
    <x v="2"/>
    <x v="1"/>
  </r>
  <r>
    <n v="55"/>
    <s v="No"/>
    <s v="Travel_Rarely"/>
    <n v="685"/>
    <x v="0"/>
    <n v="26"/>
    <n v="5"/>
    <s v="Marketing"/>
    <n v="1"/>
    <n v="1578"/>
    <n v="3"/>
    <x v="1"/>
    <n v="60"/>
    <n v="2"/>
    <n v="5"/>
    <x v="5"/>
    <x v="0"/>
    <s v="Married"/>
    <n v="19586"/>
    <n v="23037"/>
    <n v="1"/>
    <s v="Y"/>
    <s v="No"/>
    <n v="21"/>
    <n v="4"/>
    <n v="3"/>
    <n v="80"/>
    <n v="1"/>
    <n v="36"/>
    <n v="3"/>
    <n v="3"/>
    <n v="36"/>
    <n v="6"/>
    <n v="2"/>
    <n v="13"/>
    <x v="1"/>
    <x v="1"/>
    <x v="3"/>
  </r>
  <r>
    <n v="34"/>
    <s v="No"/>
    <s v="Travel_Rarely"/>
    <n v="1351"/>
    <x v="1"/>
    <n v="1"/>
    <n v="4"/>
    <s v="Life Sciences"/>
    <n v="1"/>
    <n v="1580"/>
    <n v="2"/>
    <x v="1"/>
    <n v="45"/>
    <n v="3"/>
    <n v="2"/>
    <x v="1"/>
    <x v="0"/>
    <s v="Married"/>
    <n v="5484"/>
    <n v="13008"/>
    <n v="9"/>
    <s v="Y"/>
    <s v="No"/>
    <n v="17"/>
    <n v="3"/>
    <n v="2"/>
    <n v="80"/>
    <n v="1"/>
    <n v="9"/>
    <n v="3"/>
    <n v="2"/>
    <n v="2"/>
    <n v="2"/>
    <n v="2"/>
    <n v="1"/>
    <x v="1"/>
    <x v="2"/>
    <x v="1"/>
  </r>
  <r>
    <n v="26"/>
    <s v="No"/>
    <s v="Travel_Rarely"/>
    <n v="474"/>
    <x v="1"/>
    <n v="3"/>
    <n v="3"/>
    <s v="Life Sciences"/>
    <n v="1"/>
    <n v="1581"/>
    <n v="1"/>
    <x v="0"/>
    <n v="89"/>
    <n v="3"/>
    <n v="1"/>
    <x v="1"/>
    <x v="0"/>
    <s v="Married"/>
    <n v="2061"/>
    <n v="11133"/>
    <n v="1"/>
    <s v="Y"/>
    <s v="No"/>
    <n v="21"/>
    <n v="4"/>
    <n v="1"/>
    <n v="80"/>
    <n v="0"/>
    <n v="1"/>
    <n v="5"/>
    <n v="3"/>
    <n v="1"/>
    <n v="0"/>
    <n v="0"/>
    <n v="0"/>
    <x v="1"/>
    <x v="2"/>
    <x v="1"/>
  </r>
  <r>
    <n v="38"/>
    <s v="No"/>
    <s v="Travel_Rarely"/>
    <n v="1245"/>
    <x v="0"/>
    <n v="14"/>
    <n v="3"/>
    <s v="Life Sciences"/>
    <n v="1"/>
    <n v="1582"/>
    <n v="3"/>
    <x v="1"/>
    <n v="80"/>
    <n v="3"/>
    <n v="2"/>
    <x v="0"/>
    <x v="1"/>
    <s v="Married"/>
    <n v="9924"/>
    <n v="12355"/>
    <n v="0"/>
    <s v="Y"/>
    <s v="No"/>
    <n v="11"/>
    <n v="3"/>
    <n v="4"/>
    <n v="80"/>
    <n v="1"/>
    <n v="10"/>
    <n v="3"/>
    <n v="3"/>
    <n v="9"/>
    <n v="8"/>
    <n v="7"/>
    <n v="7"/>
    <x v="1"/>
    <x v="0"/>
    <x v="0"/>
  </r>
  <r>
    <n v="38"/>
    <s v="No"/>
    <s v="Travel_Rarely"/>
    <n v="437"/>
    <x v="0"/>
    <n v="16"/>
    <n v="3"/>
    <s v="Life Sciences"/>
    <n v="1"/>
    <n v="1583"/>
    <n v="2"/>
    <x v="0"/>
    <n v="90"/>
    <n v="3"/>
    <n v="2"/>
    <x v="0"/>
    <x v="1"/>
    <s v="Single"/>
    <n v="4198"/>
    <n v="16379"/>
    <n v="2"/>
    <s v="Y"/>
    <s v="No"/>
    <n v="12"/>
    <n v="3"/>
    <n v="2"/>
    <n v="80"/>
    <n v="0"/>
    <n v="8"/>
    <n v="5"/>
    <n v="4"/>
    <n v="3"/>
    <n v="2"/>
    <n v="1"/>
    <n v="2"/>
    <x v="1"/>
    <x v="0"/>
    <x v="2"/>
  </r>
  <r>
    <n v="36"/>
    <s v="No"/>
    <s v="Travel_Rarely"/>
    <n v="884"/>
    <x v="0"/>
    <n v="1"/>
    <n v="4"/>
    <s v="Life Sciences"/>
    <n v="1"/>
    <n v="1585"/>
    <n v="2"/>
    <x v="0"/>
    <n v="73"/>
    <n v="3"/>
    <n v="2"/>
    <x v="0"/>
    <x v="2"/>
    <s v="Single"/>
    <n v="6815"/>
    <n v="21447"/>
    <n v="6"/>
    <s v="Y"/>
    <s v="No"/>
    <n v="13"/>
    <n v="3"/>
    <n v="1"/>
    <n v="80"/>
    <n v="0"/>
    <n v="15"/>
    <n v="5"/>
    <n v="3"/>
    <n v="1"/>
    <n v="0"/>
    <n v="0"/>
    <n v="0"/>
    <x v="1"/>
    <x v="0"/>
    <x v="1"/>
  </r>
  <r>
    <n v="29"/>
    <s v="No"/>
    <s v="Travel_Rarely"/>
    <n v="1370"/>
    <x v="1"/>
    <n v="3"/>
    <n v="1"/>
    <s v="Medical"/>
    <n v="1"/>
    <n v="1586"/>
    <n v="2"/>
    <x v="1"/>
    <n v="87"/>
    <n v="3"/>
    <n v="1"/>
    <x v="2"/>
    <x v="3"/>
    <s v="Single"/>
    <n v="4723"/>
    <n v="16213"/>
    <n v="1"/>
    <s v="Y"/>
    <s v="Yes"/>
    <n v="18"/>
    <n v="3"/>
    <n v="4"/>
    <n v="80"/>
    <n v="0"/>
    <n v="10"/>
    <n v="3"/>
    <n v="3"/>
    <n v="10"/>
    <n v="9"/>
    <n v="1"/>
    <n v="5"/>
    <x v="1"/>
    <x v="2"/>
    <x v="0"/>
  </r>
  <r>
    <n v="35"/>
    <s v="No"/>
    <s v="Travel_Rarely"/>
    <n v="670"/>
    <x v="1"/>
    <n v="10"/>
    <n v="4"/>
    <s v="Medical"/>
    <n v="1"/>
    <n v="1587"/>
    <n v="1"/>
    <x v="0"/>
    <n v="51"/>
    <n v="3"/>
    <n v="2"/>
    <x v="4"/>
    <x v="2"/>
    <s v="Single"/>
    <n v="6142"/>
    <n v="4223"/>
    <n v="3"/>
    <s v="Y"/>
    <s v="Yes"/>
    <n v="16"/>
    <n v="3"/>
    <n v="3"/>
    <n v="80"/>
    <n v="0"/>
    <n v="10"/>
    <n v="4"/>
    <n v="3"/>
    <n v="5"/>
    <n v="2"/>
    <n v="0"/>
    <n v="4"/>
    <x v="1"/>
    <x v="2"/>
    <x v="2"/>
  </r>
  <r>
    <n v="39"/>
    <s v="No"/>
    <s v="Travel_Rarely"/>
    <n v="1462"/>
    <x v="0"/>
    <n v="6"/>
    <n v="3"/>
    <s v="Medical"/>
    <n v="1"/>
    <n v="1588"/>
    <n v="4"/>
    <x v="1"/>
    <n v="38"/>
    <n v="4"/>
    <n v="3"/>
    <x v="0"/>
    <x v="2"/>
    <s v="Married"/>
    <n v="8237"/>
    <n v="4658"/>
    <n v="2"/>
    <s v="Y"/>
    <s v="No"/>
    <n v="11"/>
    <n v="3"/>
    <n v="1"/>
    <n v="80"/>
    <n v="1"/>
    <n v="11"/>
    <n v="3"/>
    <n v="3"/>
    <n v="7"/>
    <n v="6"/>
    <n v="7"/>
    <n v="6"/>
    <x v="1"/>
    <x v="0"/>
    <x v="0"/>
  </r>
  <r>
    <n v="29"/>
    <s v="No"/>
    <s v="Travel_Frequently"/>
    <n v="995"/>
    <x v="1"/>
    <n v="2"/>
    <n v="1"/>
    <s v="Life Sciences"/>
    <n v="1"/>
    <n v="1590"/>
    <n v="1"/>
    <x v="1"/>
    <n v="87"/>
    <n v="3"/>
    <n v="2"/>
    <x v="4"/>
    <x v="0"/>
    <s v="Divorced"/>
    <n v="8853"/>
    <n v="24483"/>
    <n v="1"/>
    <s v="Y"/>
    <s v="No"/>
    <n v="19"/>
    <n v="3"/>
    <n v="4"/>
    <n v="80"/>
    <n v="1"/>
    <n v="6"/>
    <n v="0"/>
    <n v="4"/>
    <n v="6"/>
    <n v="4"/>
    <n v="1"/>
    <n v="3"/>
    <x v="1"/>
    <x v="2"/>
    <x v="0"/>
  </r>
  <r>
    <n v="50"/>
    <s v="No"/>
    <s v="Travel_Rarely"/>
    <n v="264"/>
    <x v="0"/>
    <n v="9"/>
    <n v="3"/>
    <s v="Marketing"/>
    <n v="1"/>
    <n v="1591"/>
    <n v="3"/>
    <x v="1"/>
    <n v="59"/>
    <n v="3"/>
    <n v="5"/>
    <x v="5"/>
    <x v="2"/>
    <s v="Married"/>
    <n v="19331"/>
    <n v="19519"/>
    <n v="4"/>
    <s v="Y"/>
    <s v="Yes"/>
    <n v="16"/>
    <n v="3"/>
    <n v="3"/>
    <n v="80"/>
    <n v="1"/>
    <n v="27"/>
    <n v="2"/>
    <n v="3"/>
    <n v="1"/>
    <n v="0"/>
    <n v="0"/>
    <n v="0"/>
    <x v="1"/>
    <x v="1"/>
    <x v="1"/>
  </r>
  <r>
    <n v="23"/>
    <s v="No"/>
    <s v="Travel_Rarely"/>
    <n v="977"/>
    <x v="1"/>
    <n v="10"/>
    <n v="3"/>
    <s v="Technical Degree"/>
    <n v="1"/>
    <n v="1592"/>
    <n v="4"/>
    <x v="1"/>
    <n v="45"/>
    <n v="4"/>
    <n v="1"/>
    <x v="1"/>
    <x v="2"/>
    <s v="Married"/>
    <n v="2073"/>
    <n v="12826"/>
    <n v="2"/>
    <s v="Y"/>
    <s v="No"/>
    <n v="16"/>
    <n v="3"/>
    <n v="4"/>
    <n v="80"/>
    <n v="1"/>
    <n v="4"/>
    <n v="2"/>
    <n v="3"/>
    <n v="2"/>
    <n v="2"/>
    <n v="2"/>
    <n v="2"/>
    <x v="1"/>
    <x v="3"/>
    <x v="1"/>
  </r>
  <r>
    <n v="36"/>
    <s v="No"/>
    <s v="Travel_Frequently"/>
    <n v="1302"/>
    <x v="1"/>
    <n v="6"/>
    <n v="4"/>
    <s v="Life Sciences"/>
    <n v="1"/>
    <n v="1594"/>
    <n v="1"/>
    <x v="1"/>
    <n v="80"/>
    <n v="4"/>
    <n v="2"/>
    <x v="2"/>
    <x v="3"/>
    <s v="Married"/>
    <n v="5562"/>
    <n v="19711"/>
    <n v="3"/>
    <s v="Y"/>
    <s v="Yes"/>
    <n v="13"/>
    <n v="3"/>
    <n v="4"/>
    <n v="80"/>
    <n v="1"/>
    <n v="9"/>
    <n v="3"/>
    <n v="3"/>
    <n v="3"/>
    <n v="2"/>
    <n v="0"/>
    <n v="2"/>
    <x v="1"/>
    <x v="0"/>
    <x v="2"/>
  </r>
  <r>
    <n v="42"/>
    <s v="No"/>
    <s v="Travel_Rarely"/>
    <n v="1059"/>
    <x v="1"/>
    <n v="9"/>
    <n v="2"/>
    <s v="Other"/>
    <n v="1"/>
    <n v="1595"/>
    <n v="4"/>
    <x v="1"/>
    <n v="93"/>
    <n v="2"/>
    <n v="5"/>
    <x v="5"/>
    <x v="0"/>
    <s v="Single"/>
    <n v="19613"/>
    <n v="26362"/>
    <n v="8"/>
    <s v="Y"/>
    <s v="No"/>
    <n v="22"/>
    <n v="4"/>
    <n v="4"/>
    <n v="80"/>
    <n v="0"/>
    <n v="24"/>
    <n v="2"/>
    <n v="3"/>
    <n v="1"/>
    <n v="0"/>
    <n v="0"/>
    <n v="1"/>
    <x v="1"/>
    <x v="0"/>
    <x v="1"/>
  </r>
  <r>
    <n v="35"/>
    <s v="No"/>
    <s v="Travel_Rarely"/>
    <n v="750"/>
    <x v="1"/>
    <n v="28"/>
    <n v="3"/>
    <s v="Life Sciences"/>
    <n v="1"/>
    <n v="1596"/>
    <n v="2"/>
    <x v="1"/>
    <n v="46"/>
    <n v="4"/>
    <n v="2"/>
    <x v="2"/>
    <x v="2"/>
    <s v="Married"/>
    <n v="3407"/>
    <n v="25348"/>
    <n v="1"/>
    <s v="Y"/>
    <s v="No"/>
    <n v="17"/>
    <n v="3"/>
    <n v="4"/>
    <n v="80"/>
    <n v="2"/>
    <n v="10"/>
    <n v="3"/>
    <n v="2"/>
    <n v="10"/>
    <n v="9"/>
    <n v="6"/>
    <n v="8"/>
    <x v="1"/>
    <x v="2"/>
    <x v="0"/>
  </r>
  <r>
    <n v="34"/>
    <s v="No"/>
    <s v="Travel_Frequently"/>
    <n v="653"/>
    <x v="1"/>
    <n v="10"/>
    <n v="4"/>
    <s v="Technical Degree"/>
    <n v="1"/>
    <n v="1597"/>
    <n v="4"/>
    <x v="1"/>
    <n v="92"/>
    <n v="2"/>
    <n v="2"/>
    <x v="4"/>
    <x v="2"/>
    <s v="Married"/>
    <n v="5063"/>
    <n v="15332"/>
    <n v="1"/>
    <s v="Y"/>
    <s v="No"/>
    <n v="14"/>
    <n v="3"/>
    <n v="2"/>
    <n v="80"/>
    <n v="1"/>
    <n v="8"/>
    <n v="3"/>
    <n v="2"/>
    <n v="8"/>
    <n v="2"/>
    <n v="7"/>
    <n v="7"/>
    <x v="1"/>
    <x v="2"/>
    <x v="0"/>
  </r>
  <r>
    <n v="40"/>
    <s v="No"/>
    <s v="Travel_Rarely"/>
    <n v="118"/>
    <x v="0"/>
    <n v="14"/>
    <n v="2"/>
    <s v="Life Sciences"/>
    <n v="1"/>
    <n v="1598"/>
    <n v="4"/>
    <x v="0"/>
    <n v="84"/>
    <n v="3"/>
    <n v="2"/>
    <x v="0"/>
    <x v="3"/>
    <s v="Married"/>
    <n v="4639"/>
    <n v="11262"/>
    <n v="1"/>
    <s v="Y"/>
    <s v="No"/>
    <n v="15"/>
    <n v="3"/>
    <n v="3"/>
    <n v="80"/>
    <n v="1"/>
    <n v="5"/>
    <n v="2"/>
    <n v="3"/>
    <n v="5"/>
    <n v="4"/>
    <n v="1"/>
    <n v="2"/>
    <x v="1"/>
    <x v="0"/>
    <x v="2"/>
  </r>
  <r>
    <n v="43"/>
    <s v="No"/>
    <s v="Travel_Rarely"/>
    <n v="990"/>
    <x v="1"/>
    <n v="27"/>
    <n v="3"/>
    <s v="Technical Degree"/>
    <n v="1"/>
    <n v="1599"/>
    <n v="4"/>
    <x v="1"/>
    <n v="87"/>
    <n v="4"/>
    <n v="1"/>
    <x v="2"/>
    <x v="1"/>
    <s v="Divorced"/>
    <n v="4876"/>
    <n v="5855"/>
    <n v="5"/>
    <s v="Y"/>
    <s v="No"/>
    <n v="12"/>
    <n v="3"/>
    <n v="3"/>
    <n v="80"/>
    <n v="1"/>
    <n v="8"/>
    <n v="0"/>
    <n v="3"/>
    <n v="6"/>
    <n v="4"/>
    <n v="0"/>
    <n v="2"/>
    <x v="1"/>
    <x v="0"/>
    <x v="0"/>
  </r>
  <r>
    <n v="35"/>
    <s v="No"/>
    <s v="Travel_Rarely"/>
    <n v="1349"/>
    <x v="1"/>
    <n v="7"/>
    <n v="2"/>
    <s v="Life Sciences"/>
    <n v="1"/>
    <n v="1601"/>
    <n v="3"/>
    <x v="1"/>
    <n v="63"/>
    <n v="2"/>
    <n v="1"/>
    <x v="2"/>
    <x v="0"/>
    <s v="Married"/>
    <n v="2690"/>
    <n v="7713"/>
    <n v="1"/>
    <s v="Y"/>
    <s v="No"/>
    <n v="18"/>
    <n v="3"/>
    <n v="4"/>
    <n v="80"/>
    <n v="1"/>
    <n v="1"/>
    <n v="5"/>
    <n v="2"/>
    <n v="1"/>
    <n v="0"/>
    <n v="0"/>
    <n v="1"/>
    <x v="1"/>
    <x v="2"/>
    <x v="1"/>
  </r>
  <r>
    <n v="46"/>
    <s v="No"/>
    <s v="Travel_Rarely"/>
    <n v="563"/>
    <x v="0"/>
    <n v="1"/>
    <n v="4"/>
    <s v="Life Sciences"/>
    <n v="1"/>
    <n v="1602"/>
    <n v="4"/>
    <x v="1"/>
    <n v="56"/>
    <n v="4"/>
    <n v="4"/>
    <x v="5"/>
    <x v="3"/>
    <s v="Single"/>
    <n v="17567"/>
    <n v="3156"/>
    <n v="1"/>
    <s v="Y"/>
    <s v="No"/>
    <n v="15"/>
    <n v="3"/>
    <n v="2"/>
    <n v="80"/>
    <n v="0"/>
    <n v="27"/>
    <n v="5"/>
    <n v="1"/>
    <n v="26"/>
    <n v="0"/>
    <n v="0"/>
    <n v="12"/>
    <x v="1"/>
    <x v="1"/>
    <x v="3"/>
  </r>
  <r>
    <n v="28"/>
    <s v="Yes"/>
    <s v="Travel_Rarely"/>
    <n v="329"/>
    <x v="1"/>
    <n v="24"/>
    <n v="3"/>
    <s v="Medical"/>
    <n v="1"/>
    <n v="1604"/>
    <n v="3"/>
    <x v="1"/>
    <n v="51"/>
    <n v="3"/>
    <n v="1"/>
    <x v="2"/>
    <x v="1"/>
    <s v="Married"/>
    <n v="2408"/>
    <n v="7324"/>
    <n v="1"/>
    <s v="Y"/>
    <s v="Yes"/>
    <n v="17"/>
    <n v="3"/>
    <n v="3"/>
    <n v="80"/>
    <n v="3"/>
    <n v="1"/>
    <n v="3"/>
    <n v="3"/>
    <n v="1"/>
    <n v="1"/>
    <n v="0"/>
    <n v="0"/>
    <x v="0"/>
    <x v="2"/>
    <x v="1"/>
  </r>
  <r>
    <n v="22"/>
    <s v="No"/>
    <s v="Non-Travel"/>
    <n v="457"/>
    <x v="1"/>
    <n v="26"/>
    <n v="2"/>
    <s v="Other"/>
    <n v="1"/>
    <n v="1605"/>
    <n v="2"/>
    <x v="0"/>
    <n v="85"/>
    <n v="2"/>
    <n v="1"/>
    <x v="1"/>
    <x v="2"/>
    <s v="Married"/>
    <n v="2814"/>
    <n v="10293"/>
    <n v="1"/>
    <s v="Y"/>
    <s v="Yes"/>
    <n v="14"/>
    <n v="3"/>
    <n v="2"/>
    <n v="80"/>
    <n v="0"/>
    <n v="4"/>
    <n v="2"/>
    <n v="2"/>
    <n v="4"/>
    <n v="2"/>
    <n v="1"/>
    <n v="3"/>
    <x v="1"/>
    <x v="3"/>
    <x v="2"/>
  </r>
  <r>
    <n v="50"/>
    <s v="No"/>
    <s v="Travel_Frequently"/>
    <n v="1234"/>
    <x v="1"/>
    <n v="20"/>
    <n v="5"/>
    <s v="Medical"/>
    <n v="1"/>
    <n v="1606"/>
    <n v="2"/>
    <x v="1"/>
    <n v="41"/>
    <n v="3"/>
    <n v="4"/>
    <x v="4"/>
    <x v="2"/>
    <s v="Married"/>
    <n v="11245"/>
    <n v="20689"/>
    <n v="2"/>
    <s v="Y"/>
    <s v="Yes"/>
    <n v="15"/>
    <n v="3"/>
    <n v="3"/>
    <n v="80"/>
    <n v="1"/>
    <n v="32"/>
    <n v="3"/>
    <n v="3"/>
    <n v="30"/>
    <n v="8"/>
    <n v="12"/>
    <n v="13"/>
    <x v="1"/>
    <x v="1"/>
    <x v="3"/>
  </r>
  <r>
    <n v="32"/>
    <s v="No"/>
    <s v="Travel_Rarely"/>
    <n v="634"/>
    <x v="1"/>
    <n v="5"/>
    <n v="4"/>
    <s v="Other"/>
    <n v="1"/>
    <n v="1607"/>
    <n v="2"/>
    <x v="0"/>
    <n v="35"/>
    <n v="4"/>
    <n v="1"/>
    <x v="1"/>
    <x v="0"/>
    <s v="Married"/>
    <n v="3312"/>
    <n v="18783"/>
    <n v="3"/>
    <s v="Y"/>
    <s v="No"/>
    <n v="17"/>
    <n v="3"/>
    <n v="4"/>
    <n v="80"/>
    <n v="2"/>
    <n v="6"/>
    <n v="3"/>
    <n v="3"/>
    <n v="3"/>
    <n v="2"/>
    <n v="0"/>
    <n v="2"/>
    <x v="1"/>
    <x v="2"/>
    <x v="2"/>
  </r>
  <r>
    <n v="44"/>
    <s v="No"/>
    <s v="Travel_Rarely"/>
    <n v="1313"/>
    <x v="1"/>
    <n v="7"/>
    <n v="3"/>
    <s v="Medical"/>
    <n v="1"/>
    <n v="1608"/>
    <n v="2"/>
    <x v="0"/>
    <n v="31"/>
    <n v="3"/>
    <n v="5"/>
    <x v="7"/>
    <x v="0"/>
    <s v="Divorced"/>
    <n v="19049"/>
    <n v="3549"/>
    <n v="0"/>
    <s v="Y"/>
    <s v="Yes"/>
    <n v="14"/>
    <n v="3"/>
    <n v="4"/>
    <n v="80"/>
    <n v="1"/>
    <n v="23"/>
    <n v="4"/>
    <n v="2"/>
    <n v="22"/>
    <n v="7"/>
    <n v="1"/>
    <n v="10"/>
    <x v="1"/>
    <x v="0"/>
    <x v="3"/>
  </r>
  <r>
    <n v="30"/>
    <s v="No"/>
    <s v="Travel_Rarely"/>
    <n v="241"/>
    <x v="1"/>
    <n v="7"/>
    <n v="3"/>
    <s v="Medical"/>
    <n v="1"/>
    <n v="1609"/>
    <n v="2"/>
    <x v="1"/>
    <n v="48"/>
    <n v="2"/>
    <n v="1"/>
    <x v="1"/>
    <x v="1"/>
    <s v="Married"/>
    <n v="2141"/>
    <n v="5348"/>
    <n v="1"/>
    <s v="Y"/>
    <s v="No"/>
    <n v="12"/>
    <n v="3"/>
    <n v="2"/>
    <n v="80"/>
    <n v="1"/>
    <n v="6"/>
    <n v="3"/>
    <n v="2"/>
    <n v="6"/>
    <n v="4"/>
    <n v="1"/>
    <n v="1"/>
    <x v="1"/>
    <x v="2"/>
    <x v="0"/>
  </r>
  <r>
    <n v="45"/>
    <s v="No"/>
    <s v="Travel_Rarely"/>
    <n v="1015"/>
    <x v="1"/>
    <n v="5"/>
    <n v="5"/>
    <s v="Medical"/>
    <n v="1"/>
    <n v="1611"/>
    <n v="3"/>
    <x v="0"/>
    <n v="50"/>
    <n v="1"/>
    <n v="2"/>
    <x v="2"/>
    <x v="3"/>
    <s v="Single"/>
    <n v="5769"/>
    <n v="23447"/>
    <n v="1"/>
    <s v="Y"/>
    <s v="Yes"/>
    <n v="14"/>
    <n v="3"/>
    <n v="1"/>
    <n v="80"/>
    <n v="0"/>
    <n v="10"/>
    <n v="3"/>
    <n v="3"/>
    <n v="10"/>
    <n v="7"/>
    <n v="1"/>
    <n v="4"/>
    <x v="1"/>
    <x v="0"/>
    <x v="0"/>
  </r>
  <r>
    <n v="45"/>
    <s v="No"/>
    <s v="Non-Travel"/>
    <n v="336"/>
    <x v="0"/>
    <n v="26"/>
    <n v="3"/>
    <s v="Marketing"/>
    <n v="1"/>
    <n v="1612"/>
    <n v="1"/>
    <x v="1"/>
    <n v="52"/>
    <n v="2"/>
    <n v="2"/>
    <x v="0"/>
    <x v="3"/>
    <s v="Married"/>
    <n v="4385"/>
    <n v="24162"/>
    <n v="1"/>
    <s v="Y"/>
    <s v="No"/>
    <n v="15"/>
    <n v="3"/>
    <n v="1"/>
    <n v="80"/>
    <n v="1"/>
    <n v="10"/>
    <n v="2"/>
    <n v="3"/>
    <n v="10"/>
    <n v="7"/>
    <n v="4"/>
    <n v="5"/>
    <x v="1"/>
    <x v="0"/>
    <x v="0"/>
  </r>
  <r>
    <n v="31"/>
    <s v="No"/>
    <s v="Travel_Frequently"/>
    <n v="715"/>
    <x v="0"/>
    <n v="2"/>
    <n v="4"/>
    <s v="Other"/>
    <n v="1"/>
    <n v="1613"/>
    <n v="4"/>
    <x v="1"/>
    <n v="54"/>
    <n v="3"/>
    <n v="2"/>
    <x v="0"/>
    <x v="3"/>
    <s v="Single"/>
    <n v="5332"/>
    <n v="21602"/>
    <n v="7"/>
    <s v="Y"/>
    <s v="No"/>
    <n v="13"/>
    <n v="3"/>
    <n v="4"/>
    <n v="80"/>
    <n v="0"/>
    <n v="10"/>
    <n v="3"/>
    <n v="3"/>
    <n v="5"/>
    <n v="2"/>
    <n v="0"/>
    <n v="3"/>
    <x v="1"/>
    <x v="2"/>
    <x v="2"/>
  </r>
  <r>
    <n v="36"/>
    <s v="No"/>
    <s v="Travel_Rarely"/>
    <n v="559"/>
    <x v="1"/>
    <n v="12"/>
    <n v="4"/>
    <s v="Life Sciences"/>
    <n v="1"/>
    <n v="1614"/>
    <n v="3"/>
    <x v="0"/>
    <n v="76"/>
    <n v="3"/>
    <n v="2"/>
    <x v="3"/>
    <x v="2"/>
    <s v="Married"/>
    <n v="4663"/>
    <n v="12421"/>
    <n v="9"/>
    <s v="Y"/>
    <s v="Yes"/>
    <n v="12"/>
    <n v="3"/>
    <n v="2"/>
    <n v="80"/>
    <n v="2"/>
    <n v="7"/>
    <n v="2"/>
    <n v="3"/>
    <n v="3"/>
    <n v="2"/>
    <n v="1"/>
    <n v="1"/>
    <x v="1"/>
    <x v="0"/>
    <x v="2"/>
  </r>
  <r>
    <n v="34"/>
    <s v="No"/>
    <s v="Travel_Frequently"/>
    <n v="426"/>
    <x v="1"/>
    <n v="10"/>
    <n v="4"/>
    <s v="Life Sciences"/>
    <n v="1"/>
    <n v="1615"/>
    <n v="3"/>
    <x v="1"/>
    <n v="42"/>
    <n v="4"/>
    <n v="2"/>
    <x v="3"/>
    <x v="0"/>
    <s v="Divorced"/>
    <n v="4724"/>
    <n v="17000"/>
    <n v="1"/>
    <s v="Y"/>
    <s v="No"/>
    <n v="13"/>
    <n v="3"/>
    <n v="1"/>
    <n v="80"/>
    <n v="1"/>
    <n v="9"/>
    <n v="3"/>
    <n v="3"/>
    <n v="9"/>
    <n v="7"/>
    <n v="7"/>
    <n v="2"/>
    <x v="1"/>
    <x v="2"/>
    <x v="0"/>
  </r>
  <r>
    <n v="49"/>
    <s v="No"/>
    <s v="Travel_Rarely"/>
    <n v="722"/>
    <x v="1"/>
    <n v="25"/>
    <n v="4"/>
    <s v="Life Sciences"/>
    <n v="1"/>
    <n v="1617"/>
    <n v="3"/>
    <x v="0"/>
    <n v="84"/>
    <n v="3"/>
    <n v="1"/>
    <x v="2"/>
    <x v="3"/>
    <s v="Married"/>
    <n v="3211"/>
    <n v="22102"/>
    <n v="1"/>
    <s v="Y"/>
    <s v="No"/>
    <n v="14"/>
    <n v="3"/>
    <n v="4"/>
    <n v="80"/>
    <n v="1"/>
    <n v="10"/>
    <n v="3"/>
    <n v="2"/>
    <n v="9"/>
    <n v="6"/>
    <n v="1"/>
    <n v="4"/>
    <x v="1"/>
    <x v="1"/>
    <x v="0"/>
  </r>
  <r>
    <n v="39"/>
    <s v="No"/>
    <s v="Travel_Rarely"/>
    <n v="1387"/>
    <x v="1"/>
    <n v="10"/>
    <n v="5"/>
    <s v="Medical"/>
    <n v="1"/>
    <n v="1618"/>
    <n v="2"/>
    <x v="1"/>
    <n v="76"/>
    <n v="3"/>
    <n v="2"/>
    <x v="3"/>
    <x v="3"/>
    <s v="Married"/>
    <n v="5377"/>
    <n v="3835"/>
    <n v="2"/>
    <s v="Y"/>
    <s v="No"/>
    <n v="13"/>
    <n v="3"/>
    <n v="4"/>
    <n v="80"/>
    <n v="3"/>
    <n v="10"/>
    <n v="3"/>
    <n v="3"/>
    <n v="7"/>
    <n v="7"/>
    <n v="7"/>
    <n v="7"/>
    <x v="1"/>
    <x v="0"/>
    <x v="0"/>
  </r>
  <r>
    <n v="27"/>
    <s v="No"/>
    <s v="Travel_Rarely"/>
    <n v="1302"/>
    <x v="1"/>
    <n v="19"/>
    <n v="3"/>
    <s v="Other"/>
    <n v="1"/>
    <n v="1619"/>
    <n v="4"/>
    <x v="1"/>
    <n v="67"/>
    <n v="2"/>
    <n v="1"/>
    <x v="2"/>
    <x v="3"/>
    <s v="Divorced"/>
    <n v="4066"/>
    <n v="16290"/>
    <n v="1"/>
    <s v="Y"/>
    <s v="No"/>
    <n v="11"/>
    <n v="3"/>
    <n v="1"/>
    <n v="80"/>
    <n v="2"/>
    <n v="7"/>
    <n v="3"/>
    <n v="3"/>
    <n v="7"/>
    <n v="7"/>
    <n v="0"/>
    <n v="7"/>
    <x v="1"/>
    <x v="2"/>
    <x v="0"/>
  </r>
  <r>
    <n v="35"/>
    <s v="No"/>
    <s v="Travel_Rarely"/>
    <n v="819"/>
    <x v="1"/>
    <n v="18"/>
    <n v="5"/>
    <s v="Life Sciences"/>
    <n v="1"/>
    <n v="1621"/>
    <n v="2"/>
    <x v="1"/>
    <n v="48"/>
    <n v="4"/>
    <n v="2"/>
    <x v="1"/>
    <x v="3"/>
    <s v="Married"/>
    <n v="5208"/>
    <n v="26312"/>
    <n v="1"/>
    <s v="Y"/>
    <s v="No"/>
    <n v="11"/>
    <n v="3"/>
    <n v="4"/>
    <n v="80"/>
    <n v="0"/>
    <n v="16"/>
    <n v="2"/>
    <n v="3"/>
    <n v="16"/>
    <n v="15"/>
    <n v="1"/>
    <n v="10"/>
    <x v="1"/>
    <x v="2"/>
    <x v="3"/>
  </r>
  <r>
    <n v="28"/>
    <s v="No"/>
    <s v="Travel_Rarely"/>
    <n v="580"/>
    <x v="1"/>
    <n v="27"/>
    <n v="3"/>
    <s v="Medical"/>
    <n v="1"/>
    <n v="1622"/>
    <n v="2"/>
    <x v="0"/>
    <n v="39"/>
    <n v="1"/>
    <n v="2"/>
    <x v="3"/>
    <x v="3"/>
    <s v="Divorced"/>
    <n v="4877"/>
    <n v="20460"/>
    <n v="0"/>
    <s v="Y"/>
    <s v="No"/>
    <n v="21"/>
    <n v="4"/>
    <n v="2"/>
    <n v="80"/>
    <n v="1"/>
    <n v="6"/>
    <n v="5"/>
    <n v="2"/>
    <n v="5"/>
    <n v="3"/>
    <n v="0"/>
    <n v="0"/>
    <x v="1"/>
    <x v="2"/>
    <x v="2"/>
  </r>
  <r>
    <n v="21"/>
    <s v="No"/>
    <s v="Travel_Rarely"/>
    <n v="546"/>
    <x v="1"/>
    <n v="5"/>
    <n v="1"/>
    <s v="Medical"/>
    <n v="1"/>
    <n v="1623"/>
    <n v="3"/>
    <x v="1"/>
    <n v="97"/>
    <n v="3"/>
    <n v="1"/>
    <x v="1"/>
    <x v="0"/>
    <s v="Single"/>
    <n v="3117"/>
    <n v="26009"/>
    <n v="1"/>
    <s v="Y"/>
    <s v="No"/>
    <n v="18"/>
    <n v="3"/>
    <n v="3"/>
    <n v="80"/>
    <n v="0"/>
    <n v="3"/>
    <n v="2"/>
    <n v="3"/>
    <n v="2"/>
    <n v="2"/>
    <n v="2"/>
    <n v="2"/>
    <x v="1"/>
    <x v="3"/>
    <x v="1"/>
  </r>
  <r>
    <n v="18"/>
    <s v="Yes"/>
    <s v="Travel_Frequently"/>
    <n v="544"/>
    <x v="0"/>
    <n v="3"/>
    <n v="2"/>
    <s v="Medical"/>
    <n v="1"/>
    <n v="1624"/>
    <n v="2"/>
    <x v="0"/>
    <n v="70"/>
    <n v="3"/>
    <n v="1"/>
    <x v="6"/>
    <x v="0"/>
    <s v="Single"/>
    <n v="1569"/>
    <n v="18420"/>
    <n v="1"/>
    <s v="Y"/>
    <s v="Yes"/>
    <n v="12"/>
    <n v="3"/>
    <n v="3"/>
    <n v="80"/>
    <n v="0"/>
    <n v="0"/>
    <n v="2"/>
    <n v="4"/>
    <n v="0"/>
    <n v="0"/>
    <n v="0"/>
    <n v="0"/>
    <x v="0"/>
    <x v="3"/>
    <x v="1"/>
  </r>
  <r>
    <n v="47"/>
    <s v="No"/>
    <s v="Travel_Rarely"/>
    <n v="1176"/>
    <x v="2"/>
    <n v="26"/>
    <n v="4"/>
    <s v="Life Sciences"/>
    <n v="1"/>
    <n v="1625"/>
    <n v="4"/>
    <x v="0"/>
    <n v="98"/>
    <n v="3"/>
    <n v="5"/>
    <x v="5"/>
    <x v="2"/>
    <s v="Married"/>
    <n v="19658"/>
    <n v="5220"/>
    <n v="3"/>
    <s v="Y"/>
    <s v="No"/>
    <n v="11"/>
    <n v="3"/>
    <n v="3"/>
    <n v="80"/>
    <n v="1"/>
    <n v="27"/>
    <n v="2"/>
    <n v="3"/>
    <n v="5"/>
    <n v="2"/>
    <n v="1"/>
    <n v="0"/>
    <x v="1"/>
    <x v="1"/>
    <x v="2"/>
  </r>
  <r>
    <n v="39"/>
    <s v="No"/>
    <s v="Travel_Rarely"/>
    <n v="170"/>
    <x v="1"/>
    <n v="3"/>
    <n v="2"/>
    <s v="Medical"/>
    <n v="1"/>
    <n v="1627"/>
    <n v="3"/>
    <x v="1"/>
    <n v="76"/>
    <n v="2"/>
    <n v="2"/>
    <x v="2"/>
    <x v="2"/>
    <s v="Divorced"/>
    <n v="3069"/>
    <n v="10302"/>
    <n v="0"/>
    <s v="Y"/>
    <s v="No"/>
    <n v="15"/>
    <n v="3"/>
    <n v="4"/>
    <n v="80"/>
    <n v="1"/>
    <n v="11"/>
    <n v="3"/>
    <n v="3"/>
    <n v="10"/>
    <n v="8"/>
    <n v="0"/>
    <n v="7"/>
    <x v="1"/>
    <x v="0"/>
    <x v="0"/>
  </r>
  <r>
    <n v="40"/>
    <s v="No"/>
    <s v="Travel_Rarely"/>
    <n v="884"/>
    <x v="1"/>
    <n v="15"/>
    <n v="3"/>
    <s v="Life Sciences"/>
    <n v="1"/>
    <n v="1628"/>
    <n v="1"/>
    <x v="0"/>
    <n v="80"/>
    <n v="2"/>
    <n v="3"/>
    <x v="3"/>
    <x v="2"/>
    <s v="Married"/>
    <n v="10435"/>
    <n v="25800"/>
    <n v="1"/>
    <s v="Y"/>
    <s v="No"/>
    <n v="13"/>
    <n v="3"/>
    <n v="4"/>
    <n v="80"/>
    <n v="2"/>
    <n v="18"/>
    <n v="2"/>
    <n v="3"/>
    <n v="18"/>
    <n v="15"/>
    <n v="14"/>
    <n v="12"/>
    <x v="1"/>
    <x v="0"/>
    <x v="3"/>
  </r>
  <r>
    <n v="35"/>
    <s v="No"/>
    <s v="Non-Travel"/>
    <n v="208"/>
    <x v="1"/>
    <n v="8"/>
    <n v="4"/>
    <s v="Life Sciences"/>
    <n v="1"/>
    <n v="1630"/>
    <n v="3"/>
    <x v="0"/>
    <n v="52"/>
    <n v="3"/>
    <n v="2"/>
    <x v="4"/>
    <x v="2"/>
    <s v="Married"/>
    <n v="4148"/>
    <n v="12250"/>
    <n v="1"/>
    <s v="Y"/>
    <s v="No"/>
    <n v="12"/>
    <n v="3"/>
    <n v="4"/>
    <n v="80"/>
    <n v="1"/>
    <n v="15"/>
    <n v="5"/>
    <n v="3"/>
    <n v="14"/>
    <n v="11"/>
    <n v="2"/>
    <n v="9"/>
    <x v="1"/>
    <x v="2"/>
    <x v="3"/>
  </r>
  <r>
    <n v="37"/>
    <s v="No"/>
    <s v="Travel_Rarely"/>
    <n v="671"/>
    <x v="1"/>
    <n v="19"/>
    <n v="3"/>
    <s v="Life Sciences"/>
    <n v="1"/>
    <n v="1631"/>
    <n v="3"/>
    <x v="1"/>
    <n v="85"/>
    <n v="3"/>
    <n v="2"/>
    <x v="3"/>
    <x v="2"/>
    <s v="Married"/>
    <n v="5768"/>
    <n v="26493"/>
    <n v="3"/>
    <s v="Y"/>
    <s v="No"/>
    <n v="17"/>
    <n v="3"/>
    <n v="1"/>
    <n v="80"/>
    <n v="3"/>
    <n v="9"/>
    <n v="2"/>
    <n v="2"/>
    <n v="4"/>
    <n v="3"/>
    <n v="0"/>
    <n v="2"/>
    <x v="1"/>
    <x v="0"/>
    <x v="2"/>
  </r>
  <r>
    <n v="39"/>
    <s v="No"/>
    <s v="Travel_Frequently"/>
    <n v="711"/>
    <x v="1"/>
    <n v="4"/>
    <n v="3"/>
    <s v="Medical"/>
    <n v="1"/>
    <n v="1633"/>
    <n v="1"/>
    <x v="0"/>
    <n v="81"/>
    <n v="3"/>
    <n v="2"/>
    <x v="3"/>
    <x v="2"/>
    <s v="Single"/>
    <n v="5042"/>
    <n v="3140"/>
    <n v="0"/>
    <s v="Y"/>
    <s v="No"/>
    <n v="13"/>
    <n v="3"/>
    <n v="4"/>
    <n v="80"/>
    <n v="0"/>
    <n v="10"/>
    <n v="2"/>
    <n v="1"/>
    <n v="9"/>
    <n v="2"/>
    <n v="3"/>
    <n v="8"/>
    <x v="1"/>
    <x v="0"/>
    <x v="0"/>
  </r>
  <r>
    <n v="45"/>
    <s v="No"/>
    <s v="Travel_Rarely"/>
    <n v="1329"/>
    <x v="1"/>
    <n v="2"/>
    <n v="2"/>
    <s v="Other"/>
    <n v="1"/>
    <n v="1635"/>
    <n v="4"/>
    <x v="0"/>
    <n v="59"/>
    <n v="2"/>
    <n v="2"/>
    <x v="3"/>
    <x v="0"/>
    <s v="Divorced"/>
    <n v="5770"/>
    <n v="5388"/>
    <n v="1"/>
    <s v="Y"/>
    <s v="No"/>
    <n v="19"/>
    <n v="3"/>
    <n v="1"/>
    <n v="80"/>
    <n v="2"/>
    <n v="10"/>
    <n v="3"/>
    <n v="3"/>
    <n v="10"/>
    <n v="7"/>
    <n v="3"/>
    <n v="9"/>
    <x v="1"/>
    <x v="0"/>
    <x v="0"/>
  </r>
  <r>
    <n v="38"/>
    <s v="No"/>
    <s v="Travel_Rarely"/>
    <n v="397"/>
    <x v="1"/>
    <n v="2"/>
    <n v="2"/>
    <s v="Medical"/>
    <n v="1"/>
    <n v="1638"/>
    <n v="4"/>
    <x v="0"/>
    <n v="54"/>
    <n v="2"/>
    <n v="3"/>
    <x v="3"/>
    <x v="2"/>
    <s v="Married"/>
    <n v="7756"/>
    <n v="14199"/>
    <n v="3"/>
    <s v="Y"/>
    <s v="Yes"/>
    <n v="19"/>
    <n v="3"/>
    <n v="4"/>
    <n v="80"/>
    <n v="1"/>
    <n v="10"/>
    <n v="6"/>
    <n v="4"/>
    <n v="5"/>
    <n v="4"/>
    <n v="0"/>
    <n v="2"/>
    <x v="1"/>
    <x v="0"/>
    <x v="2"/>
  </r>
  <r>
    <n v="35"/>
    <s v="Yes"/>
    <s v="Travel_Rarely"/>
    <n v="737"/>
    <x v="0"/>
    <n v="10"/>
    <n v="3"/>
    <s v="Medical"/>
    <n v="1"/>
    <n v="1639"/>
    <n v="4"/>
    <x v="1"/>
    <n v="55"/>
    <n v="2"/>
    <n v="3"/>
    <x v="0"/>
    <x v="3"/>
    <s v="Married"/>
    <n v="10306"/>
    <n v="21530"/>
    <n v="9"/>
    <s v="Y"/>
    <s v="No"/>
    <n v="17"/>
    <n v="3"/>
    <n v="3"/>
    <n v="80"/>
    <n v="0"/>
    <n v="15"/>
    <n v="3"/>
    <n v="3"/>
    <n v="13"/>
    <n v="12"/>
    <n v="6"/>
    <n v="0"/>
    <x v="0"/>
    <x v="2"/>
    <x v="3"/>
  </r>
  <r>
    <n v="37"/>
    <s v="No"/>
    <s v="Travel_Rarely"/>
    <n v="1470"/>
    <x v="1"/>
    <n v="10"/>
    <n v="3"/>
    <s v="Medical"/>
    <n v="1"/>
    <n v="1640"/>
    <n v="2"/>
    <x v="0"/>
    <n v="71"/>
    <n v="3"/>
    <n v="1"/>
    <x v="1"/>
    <x v="1"/>
    <s v="Married"/>
    <n v="3936"/>
    <n v="9953"/>
    <n v="1"/>
    <s v="Y"/>
    <s v="No"/>
    <n v="11"/>
    <n v="3"/>
    <n v="1"/>
    <n v="80"/>
    <n v="1"/>
    <n v="8"/>
    <n v="2"/>
    <n v="1"/>
    <n v="8"/>
    <n v="4"/>
    <n v="7"/>
    <n v="7"/>
    <x v="1"/>
    <x v="0"/>
    <x v="0"/>
  </r>
  <r>
    <n v="40"/>
    <s v="No"/>
    <s v="Travel_Rarely"/>
    <n v="448"/>
    <x v="1"/>
    <n v="16"/>
    <n v="3"/>
    <s v="Life Sciences"/>
    <n v="1"/>
    <n v="1641"/>
    <n v="3"/>
    <x v="0"/>
    <n v="84"/>
    <n v="3"/>
    <n v="3"/>
    <x v="3"/>
    <x v="0"/>
    <s v="Single"/>
    <n v="7945"/>
    <n v="19948"/>
    <n v="6"/>
    <s v="Y"/>
    <s v="Yes"/>
    <n v="15"/>
    <n v="3"/>
    <n v="4"/>
    <n v="80"/>
    <n v="0"/>
    <n v="18"/>
    <n v="2"/>
    <n v="2"/>
    <n v="4"/>
    <n v="2"/>
    <n v="3"/>
    <n v="3"/>
    <x v="1"/>
    <x v="0"/>
    <x v="2"/>
  </r>
  <r>
    <n v="44"/>
    <s v="No"/>
    <s v="Travel_Frequently"/>
    <n v="602"/>
    <x v="2"/>
    <n v="1"/>
    <n v="5"/>
    <s v="Human Resources"/>
    <n v="1"/>
    <n v="1642"/>
    <n v="1"/>
    <x v="1"/>
    <n v="37"/>
    <n v="3"/>
    <n v="2"/>
    <x v="8"/>
    <x v="0"/>
    <s v="Married"/>
    <n v="5743"/>
    <n v="10503"/>
    <n v="4"/>
    <s v="Y"/>
    <s v="Yes"/>
    <n v="11"/>
    <n v="3"/>
    <n v="3"/>
    <n v="80"/>
    <n v="0"/>
    <n v="14"/>
    <n v="3"/>
    <n v="3"/>
    <n v="10"/>
    <n v="7"/>
    <n v="0"/>
    <n v="2"/>
    <x v="1"/>
    <x v="0"/>
    <x v="0"/>
  </r>
  <r>
    <n v="48"/>
    <s v="No"/>
    <s v="Travel_Frequently"/>
    <n v="365"/>
    <x v="1"/>
    <n v="4"/>
    <n v="5"/>
    <s v="Medical"/>
    <n v="1"/>
    <n v="1644"/>
    <n v="3"/>
    <x v="1"/>
    <n v="89"/>
    <n v="2"/>
    <n v="4"/>
    <x v="5"/>
    <x v="0"/>
    <s v="Married"/>
    <n v="15202"/>
    <n v="5602"/>
    <n v="2"/>
    <s v="Y"/>
    <s v="No"/>
    <n v="25"/>
    <n v="4"/>
    <n v="2"/>
    <n v="80"/>
    <n v="1"/>
    <n v="23"/>
    <n v="3"/>
    <n v="3"/>
    <n v="2"/>
    <n v="2"/>
    <n v="2"/>
    <n v="2"/>
    <x v="1"/>
    <x v="1"/>
    <x v="1"/>
  </r>
  <r>
    <n v="35"/>
    <s v="Yes"/>
    <s v="Travel_Rarely"/>
    <n v="763"/>
    <x v="0"/>
    <n v="15"/>
    <n v="2"/>
    <s v="Medical"/>
    <n v="1"/>
    <n v="1645"/>
    <n v="1"/>
    <x v="1"/>
    <n v="59"/>
    <n v="1"/>
    <n v="2"/>
    <x v="0"/>
    <x v="0"/>
    <s v="Divorced"/>
    <n v="5440"/>
    <n v="22098"/>
    <n v="6"/>
    <s v="Y"/>
    <s v="Yes"/>
    <n v="14"/>
    <n v="3"/>
    <n v="4"/>
    <n v="80"/>
    <n v="2"/>
    <n v="7"/>
    <n v="2"/>
    <n v="2"/>
    <n v="2"/>
    <n v="2"/>
    <n v="2"/>
    <n v="2"/>
    <x v="0"/>
    <x v="2"/>
    <x v="1"/>
  </r>
  <r>
    <n v="24"/>
    <s v="No"/>
    <s v="Travel_Frequently"/>
    <n v="567"/>
    <x v="1"/>
    <n v="2"/>
    <n v="1"/>
    <s v="Technical Degree"/>
    <n v="1"/>
    <n v="1646"/>
    <n v="1"/>
    <x v="0"/>
    <n v="32"/>
    <n v="3"/>
    <n v="1"/>
    <x v="1"/>
    <x v="0"/>
    <s v="Single"/>
    <n v="3760"/>
    <n v="17218"/>
    <n v="1"/>
    <s v="Y"/>
    <s v="Yes"/>
    <n v="13"/>
    <n v="3"/>
    <n v="3"/>
    <n v="80"/>
    <n v="0"/>
    <n v="6"/>
    <n v="2"/>
    <n v="3"/>
    <n v="6"/>
    <n v="3"/>
    <n v="1"/>
    <n v="3"/>
    <x v="1"/>
    <x v="3"/>
    <x v="0"/>
  </r>
  <r>
    <n v="27"/>
    <s v="No"/>
    <s v="Travel_Rarely"/>
    <n v="486"/>
    <x v="1"/>
    <n v="8"/>
    <n v="3"/>
    <s v="Medical"/>
    <n v="1"/>
    <n v="1647"/>
    <n v="2"/>
    <x v="0"/>
    <n v="86"/>
    <n v="4"/>
    <n v="1"/>
    <x v="1"/>
    <x v="2"/>
    <s v="Married"/>
    <n v="3517"/>
    <n v="22490"/>
    <n v="7"/>
    <s v="Y"/>
    <s v="No"/>
    <n v="17"/>
    <n v="3"/>
    <n v="1"/>
    <n v="80"/>
    <n v="0"/>
    <n v="5"/>
    <n v="0"/>
    <n v="3"/>
    <n v="3"/>
    <n v="2"/>
    <n v="0"/>
    <n v="2"/>
    <x v="1"/>
    <x v="2"/>
    <x v="2"/>
  </r>
  <r>
    <n v="27"/>
    <s v="No"/>
    <s v="Travel_Frequently"/>
    <n v="591"/>
    <x v="1"/>
    <n v="2"/>
    <n v="3"/>
    <s v="Medical"/>
    <n v="1"/>
    <n v="1648"/>
    <n v="4"/>
    <x v="1"/>
    <n v="87"/>
    <n v="3"/>
    <n v="1"/>
    <x v="1"/>
    <x v="0"/>
    <s v="Single"/>
    <n v="2580"/>
    <n v="6297"/>
    <n v="2"/>
    <s v="Y"/>
    <s v="No"/>
    <n v="13"/>
    <n v="3"/>
    <n v="3"/>
    <n v="80"/>
    <n v="0"/>
    <n v="6"/>
    <n v="0"/>
    <n v="2"/>
    <n v="4"/>
    <n v="2"/>
    <n v="1"/>
    <n v="2"/>
    <x v="1"/>
    <x v="2"/>
    <x v="2"/>
  </r>
  <r>
    <n v="40"/>
    <s v="Yes"/>
    <s v="Travel_Rarely"/>
    <n v="1329"/>
    <x v="1"/>
    <n v="7"/>
    <n v="3"/>
    <s v="Life Sciences"/>
    <n v="1"/>
    <n v="1649"/>
    <n v="1"/>
    <x v="1"/>
    <n v="73"/>
    <n v="3"/>
    <n v="1"/>
    <x v="2"/>
    <x v="3"/>
    <s v="Single"/>
    <n v="2166"/>
    <n v="3339"/>
    <n v="3"/>
    <s v="Y"/>
    <s v="Yes"/>
    <n v="14"/>
    <n v="3"/>
    <n v="2"/>
    <n v="80"/>
    <n v="0"/>
    <n v="10"/>
    <n v="3"/>
    <n v="1"/>
    <n v="4"/>
    <n v="2"/>
    <n v="0"/>
    <n v="3"/>
    <x v="0"/>
    <x v="0"/>
    <x v="2"/>
  </r>
  <r>
    <n v="29"/>
    <s v="No"/>
    <s v="Travel_Rarely"/>
    <n v="469"/>
    <x v="0"/>
    <n v="10"/>
    <n v="3"/>
    <s v="Medical"/>
    <n v="1"/>
    <n v="1650"/>
    <n v="3"/>
    <x v="1"/>
    <n v="42"/>
    <n v="2"/>
    <n v="2"/>
    <x v="0"/>
    <x v="2"/>
    <s v="Single"/>
    <n v="5869"/>
    <n v="23413"/>
    <n v="9"/>
    <s v="Y"/>
    <s v="No"/>
    <n v="11"/>
    <n v="3"/>
    <n v="3"/>
    <n v="80"/>
    <n v="0"/>
    <n v="8"/>
    <n v="2"/>
    <n v="3"/>
    <n v="5"/>
    <n v="2"/>
    <n v="1"/>
    <n v="4"/>
    <x v="1"/>
    <x v="2"/>
    <x v="2"/>
  </r>
  <r>
    <n v="36"/>
    <s v="No"/>
    <s v="Travel_Rarely"/>
    <n v="711"/>
    <x v="1"/>
    <n v="5"/>
    <n v="4"/>
    <s v="Life Sciences"/>
    <n v="1"/>
    <n v="1651"/>
    <n v="2"/>
    <x v="0"/>
    <n v="42"/>
    <n v="3"/>
    <n v="3"/>
    <x v="4"/>
    <x v="3"/>
    <s v="Married"/>
    <n v="8008"/>
    <n v="22792"/>
    <n v="4"/>
    <s v="Y"/>
    <s v="No"/>
    <n v="12"/>
    <n v="3"/>
    <n v="3"/>
    <n v="80"/>
    <n v="2"/>
    <n v="9"/>
    <n v="6"/>
    <n v="3"/>
    <n v="3"/>
    <n v="2"/>
    <n v="0"/>
    <n v="2"/>
    <x v="1"/>
    <x v="0"/>
    <x v="2"/>
  </r>
  <r>
    <n v="25"/>
    <s v="No"/>
    <s v="Travel_Frequently"/>
    <n v="772"/>
    <x v="1"/>
    <n v="2"/>
    <n v="1"/>
    <s v="Life Sciences"/>
    <n v="1"/>
    <n v="1653"/>
    <n v="4"/>
    <x v="1"/>
    <n v="77"/>
    <n v="4"/>
    <n v="2"/>
    <x v="3"/>
    <x v="2"/>
    <s v="Divorced"/>
    <n v="5206"/>
    <n v="4973"/>
    <n v="1"/>
    <s v="Y"/>
    <s v="No"/>
    <n v="17"/>
    <n v="3"/>
    <n v="3"/>
    <n v="80"/>
    <n v="2"/>
    <n v="7"/>
    <n v="6"/>
    <n v="3"/>
    <n v="7"/>
    <n v="7"/>
    <n v="0"/>
    <n v="7"/>
    <x v="1"/>
    <x v="3"/>
    <x v="0"/>
  </r>
  <r>
    <n v="39"/>
    <s v="No"/>
    <s v="Travel_Rarely"/>
    <n v="492"/>
    <x v="1"/>
    <n v="12"/>
    <n v="3"/>
    <s v="Medical"/>
    <n v="1"/>
    <n v="1654"/>
    <n v="4"/>
    <x v="1"/>
    <n v="66"/>
    <n v="3"/>
    <n v="2"/>
    <x v="3"/>
    <x v="1"/>
    <s v="Married"/>
    <n v="5295"/>
    <n v="7693"/>
    <n v="4"/>
    <s v="Y"/>
    <s v="No"/>
    <n v="21"/>
    <n v="4"/>
    <n v="3"/>
    <n v="80"/>
    <n v="0"/>
    <n v="7"/>
    <n v="3"/>
    <n v="3"/>
    <n v="5"/>
    <n v="4"/>
    <n v="1"/>
    <n v="0"/>
    <x v="1"/>
    <x v="0"/>
    <x v="2"/>
  </r>
  <r>
    <n v="49"/>
    <s v="No"/>
    <s v="Travel_Rarely"/>
    <n v="301"/>
    <x v="1"/>
    <n v="22"/>
    <n v="4"/>
    <s v="Other"/>
    <n v="1"/>
    <n v="1655"/>
    <n v="1"/>
    <x v="0"/>
    <n v="72"/>
    <n v="3"/>
    <n v="4"/>
    <x v="7"/>
    <x v="1"/>
    <s v="Married"/>
    <n v="16413"/>
    <n v="3498"/>
    <n v="3"/>
    <s v="Y"/>
    <s v="No"/>
    <n v="16"/>
    <n v="3"/>
    <n v="2"/>
    <n v="80"/>
    <n v="2"/>
    <n v="27"/>
    <n v="2"/>
    <n v="3"/>
    <n v="4"/>
    <n v="2"/>
    <n v="1"/>
    <n v="2"/>
    <x v="1"/>
    <x v="1"/>
    <x v="2"/>
  </r>
  <r>
    <n v="50"/>
    <s v="No"/>
    <s v="Travel_Rarely"/>
    <n v="813"/>
    <x v="1"/>
    <n v="17"/>
    <n v="5"/>
    <s v="Life Sciences"/>
    <n v="1"/>
    <n v="1656"/>
    <n v="4"/>
    <x v="0"/>
    <n v="50"/>
    <n v="2"/>
    <n v="3"/>
    <x v="7"/>
    <x v="3"/>
    <s v="Divorced"/>
    <n v="13269"/>
    <n v="21981"/>
    <n v="5"/>
    <s v="Y"/>
    <s v="No"/>
    <n v="15"/>
    <n v="3"/>
    <n v="3"/>
    <n v="80"/>
    <n v="3"/>
    <n v="19"/>
    <n v="3"/>
    <n v="3"/>
    <n v="14"/>
    <n v="11"/>
    <n v="1"/>
    <n v="11"/>
    <x v="1"/>
    <x v="1"/>
    <x v="3"/>
  </r>
  <r>
    <n v="20"/>
    <s v="No"/>
    <s v="Travel_Rarely"/>
    <n v="1141"/>
    <x v="0"/>
    <n v="2"/>
    <n v="3"/>
    <s v="Medical"/>
    <n v="1"/>
    <n v="1657"/>
    <n v="3"/>
    <x v="0"/>
    <n v="31"/>
    <n v="3"/>
    <n v="1"/>
    <x v="6"/>
    <x v="2"/>
    <s v="Single"/>
    <n v="2783"/>
    <n v="13251"/>
    <n v="1"/>
    <s v="Y"/>
    <s v="No"/>
    <n v="19"/>
    <n v="3"/>
    <n v="1"/>
    <n v="80"/>
    <n v="0"/>
    <n v="2"/>
    <n v="3"/>
    <n v="3"/>
    <n v="2"/>
    <n v="2"/>
    <n v="2"/>
    <n v="2"/>
    <x v="1"/>
    <x v="3"/>
    <x v="1"/>
  </r>
  <r>
    <n v="34"/>
    <s v="No"/>
    <s v="Travel_Rarely"/>
    <n v="1130"/>
    <x v="1"/>
    <n v="3"/>
    <n v="3"/>
    <s v="Life Sciences"/>
    <n v="1"/>
    <n v="1658"/>
    <n v="4"/>
    <x v="0"/>
    <n v="66"/>
    <n v="3"/>
    <n v="2"/>
    <x v="1"/>
    <x v="1"/>
    <s v="Divorced"/>
    <n v="5433"/>
    <n v="19332"/>
    <n v="1"/>
    <s v="Y"/>
    <s v="No"/>
    <n v="12"/>
    <n v="3"/>
    <n v="3"/>
    <n v="80"/>
    <n v="1"/>
    <n v="11"/>
    <n v="2"/>
    <n v="3"/>
    <n v="11"/>
    <n v="8"/>
    <n v="7"/>
    <n v="9"/>
    <x v="1"/>
    <x v="2"/>
    <x v="3"/>
  </r>
  <r>
    <n v="36"/>
    <s v="No"/>
    <s v="Travel_Rarely"/>
    <n v="311"/>
    <x v="1"/>
    <n v="7"/>
    <n v="3"/>
    <s v="Life Sciences"/>
    <n v="1"/>
    <n v="1659"/>
    <n v="1"/>
    <x v="1"/>
    <n v="77"/>
    <n v="3"/>
    <n v="1"/>
    <x v="2"/>
    <x v="1"/>
    <s v="Single"/>
    <n v="2013"/>
    <n v="10950"/>
    <n v="2"/>
    <s v="Y"/>
    <s v="No"/>
    <n v="11"/>
    <n v="3"/>
    <n v="3"/>
    <n v="80"/>
    <n v="0"/>
    <n v="15"/>
    <n v="4"/>
    <n v="3"/>
    <n v="4"/>
    <n v="3"/>
    <n v="1"/>
    <n v="3"/>
    <x v="1"/>
    <x v="0"/>
    <x v="2"/>
  </r>
  <r>
    <n v="49"/>
    <s v="No"/>
    <s v="Travel_Rarely"/>
    <n v="465"/>
    <x v="1"/>
    <n v="6"/>
    <n v="1"/>
    <s v="Life Sciences"/>
    <n v="1"/>
    <n v="1661"/>
    <n v="3"/>
    <x v="0"/>
    <n v="41"/>
    <n v="2"/>
    <n v="4"/>
    <x v="4"/>
    <x v="2"/>
    <s v="Married"/>
    <n v="13966"/>
    <n v="11652"/>
    <n v="2"/>
    <s v="Y"/>
    <s v="Yes"/>
    <n v="19"/>
    <n v="3"/>
    <n v="2"/>
    <n v="80"/>
    <n v="1"/>
    <n v="30"/>
    <n v="3"/>
    <n v="3"/>
    <n v="15"/>
    <n v="11"/>
    <n v="2"/>
    <n v="12"/>
    <x v="1"/>
    <x v="1"/>
    <x v="3"/>
  </r>
  <r>
    <n v="36"/>
    <s v="No"/>
    <s v="Non-Travel"/>
    <n v="894"/>
    <x v="1"/>
    <n v="1"/>
    <n v="4"/>
    <s v="Medical"/>
    <n v="1"/>
    <n v="1662"/>
    <n v="4"/>
    <x v="0"/>
    <n v="33"/>
    <n v="2"/>
    <n v="2"/>
    <x v="3"/>
    <x v="2"/>
    <s v="Married"/>
    <n v="4374"/>
    <n v="15411"/>
    <n v="0"/>
    <s v="Y"/>
    <s v="No"/>
    <n v="15"/>
    <n v="3"/>
    <n v="3"/>
    <n v="80"/>
    <n v="0"/>
    <n v="4"/>
    <n v="6"/>
    <n v="3"/>
    <n v="3"/>
    <n v="2"/>
    <n v="1"/>
    <n v="2"/>
    <x v="1"/>
    <x v="0"/>
    <x v="2"/>
  </r>
  <r>
    <n v="36"/>
    <s v="No"/>
    <s v="Travel_Rarely"/>
    <n v="1040"/>
    <x v="1"/>
    <n v="3"/>
    <n v="2"/>
    <s v="Life Sciences"/>
    <n v="1"/>
    <n v="1664"/>
    <n v="4"/>
    <x v="1"/>
    <n v="79"/>
    <n v="4"/>
    <n v="2"/>
    <x v="4"/>
    <x v="3"/>
    <s v="Divorced"/>
    <n v="6842"/>
    <n v="26308"/>
    <n v="6"/>
    <s v="Y"/>
    <s v="No"/>
    <n v="20"/>
    <n v="4"/>
    <n v="1"/>
    <n v="80"/>
    <n v="1"/>
    <n v="13"/>
    <n v="3"/>
    <n v="3"/>
    <n v="5"/>
    <n v="4"/>
    <n v="0"/>
    <n v="4"/>
    <x v="1"/>
    <x v="0"/>
    <x v="2"/>
  </r>
  <r>
    <n v="54"/>
    <s v="No"/>
    <s v="Travel_Rarely"/>
    <n v="584"/>
    <x v="1"/>
    <n v="22"/>
    <n v="5"/>
    <s v="Medical"/>
    <n v="1"/>
    <n v="1665"/>
    <n v="2"/>
    <x v="0"/>
    <n v="91"/>
    <n v="3"/>
    <n v="4"/>
    <x v="5"/>
    <x v="2"/>
    <s v="Married"/>
    <n v="17426"/>
    <n v="18685"/>
    <n v="3"/>
    <s v="Y"/>
    <s v="No"/>
    <n v="25"/>
    <n v="4"/>
    <n v="3"/>
    <n v="80"/>
    <n v="1"/>
    <n v="36"/>
    <n v="6"/>
    <n v="3"/>
    <n v="10"/>
    <n v="8"/>
    <n v="4"/>
    <n v="7"/>
    <x v="1"/>
    <x v="1"/>
    <x v="0"/>
  </r>
  <r>
    <n v="43"/>
    <s v="No"/>
    <s v="Travel_Rarely"/>
    <n v="1291"/>
    <x v="1"/>
    <n v="15"/>
    <n v="2"/>
    <s v="Life Sciences"/>
    <n v="1"/>
    <n v="1666"/>
    <n v="3"/>
    <x v="1"/>
    <n v="65"/>
    <n v="2"/>
    <n v="4"/>
    <x v="7"/>
    <x v="2"/>
    <s v="Married"/>
    <n v="17603"/>
    <n v="3525"/>
    <n v="1"/>
    <s v="Y"/>
    <s v="No"/>
    <n v="24"/>
    <n v="4"/>
    <n v="1"/>
    <n v="80"/>
    <n v="1"/>
    <n v="14"/>
    <n v="3"/>
    <n v="3"/>
    <n v="14"/>
    <n v="10"/>
    <n v="6"/>
    <n v="11"/>
    <x v="1"/>
    <x v="0"/>
    <x v="3"/>
  </r>
  <r>
    <n v="35"/>
    <s v="Yes"/>
    <s v="Travel_Frequently"/>
    <n v="880"/>
    <x v="0"/>
    <n v="12"/>
    <n v="4"/>
    <s v="Other"/>
    <n v="1"/>
    <n v="1667"/>
    <n v="4"/>
    <x v="1"/>
    <n v="36"/>
    <n v="3"/>
    <n v="2"/>
    <x v="0"/>
    <x v="0"/>
    <s v="Single"/>
    <n v="4581"/>
    <n v="10414"/>
    <n v="3"/>
    <s v="Y"/>
    <s v="Yes"/>
    <n v="24"/>
    <n v="4"/>
    <n v="1"/>
    <n v="80"/>
    <n v="0"/>
    <n v="13"/>
    <n v="2"/>
    <n v="4"/>
    <n v="11"/>
    <n v="9"/>
    <n v="6"/>
    <n v="7"/>
    <x v="0"/>
    <x v="2"/>
    <x v="3"/>
  </r>
  <r>
    <n v="38"/>
    <s v="No"/>
    <s v="Travel_Frequently"/>
    <n v="1189"/>
    <x v="1"/>
    <n v="1"/>
    <n v="3"/>
    <s v="Life Sciences"/>
    <n v="1"/>
    <n v="1668"/>
    <n v="4"/>
    <x v="1"/>
    <n v="90"/>
    <n v="3"/>
    <n v="2"/>
    <x v="1"/>
    <x v="0"/>
    <s v="Married"/>
    <n v="4735"/>
    <n v="9867"/>
    <n v="7"/>
    <s v="Y"/>
    <s v="No"/>
    <n v="15"/>
    <n v="3"/>
    <n v="4"/>
    <n v="80"/>
    <n v="2"/>
    <n v="19"/>
    <n v="4"/>
    <n v="4"/>
    <n v="13"/>
    <n v="11"/>
    <n v="2"/>
    <n v="9"/>
    <x v="1"/>
    <x v="0"/>
    <x v="3"/>
  </r>
  <r>
    <n v="29"/>
    <s v="No"/>
    <s v="Travel_Rarely"/>
    <n v="991"/>
    <x v="0"/>
    <n v="5"/>
    <n v="3"/>
    <s v="Medical"/>
    <n v="1"/>
    <n v="1669"/>
    <n v="1"/>
    <x v="1"/>
    <n v="43"/>
    <n v="2"/>
    <n v="2"/>
    <x v="0"/>
    <x v="1"/>
    <s v="Divorced"/>
    <n v="4187"/>
    <n v="3356"/>
    <n v="1"/>
    <s v="Y"/>
    <s v="Yes"/>
    <n v="13"/>
    <n v="3"/>
    <n v="2"/>
    <n v="80"/>
    <n v="1"/>
    <n v="10"/>
    <n v="3"/>
    <n v="2"/>
    <n v="10"/>
    <n v="0"/>
    <n v="0"/>
    <n v="9"/>
    <x v="1"/>
    <x v="2"/>
    <x v="0"/>
  </r>
  <r>
    <n v="33"/>
    <s v="No"/>
    <s v="Travel_Rarely"/>
    <n v="392"/>
    <x v="0"/>
    <n v="2"/>
    <n v="4"/>
    <s v="Medical"/>
    <n v="1"/>
    <n v="1670"/>
    <n v="4"/>
    <x v="1"/>
    <n v="93"/>
    <n v="3"/>
    <n v="2"/>
    <x v="0"/>
    <x v="0"/>
    <s v="Divorced"/>
    <n v="5505"/>
    <n v="3921"/>
    <n v="1"/>
    <s v="Y"/>
    <s v="No"/>
    <n v="14"/>
    <n v="3"/>
    <n v="3"/>
    <n v="80"/>
    <n v="2"/>
    <n v="6"/>
    <n v="5"/>
    <n v="3"/>
    <n v="6"/>
    <n v="2"/>
    <n v="0"/>
    <n v="4"/>
    <x v="1"/>
    <x v="2"/>
    <x v="0"/>
  </r>
  <r>
    <n v="32"/>
    <s v="No"/>
    <s v="Travel_Rarely"/>
    <n v="977"/>
    <x v="1"/>
    <n v="2"/>
    <n v="3"/>
    <s v="Medical"/>
    <n v="1"/>
    <n v="1671"/>
    <n v="4"/>
    <x v="1"/>
    <n v="45"/>
    <n v="3"/>
    <n v="2"/>
    <x v="1"/>
    <x v="1"/>
    <s v="Divorced"/>
    <n v="5470"/>
    <n v="25518"/>
    <n v="0"/>
    <s v="Y"/>
    <s v="No"/>
    <n v="13"/>
    <n v="3"/>
    <n v="3"/>
    <n v="80"/>
    <n v="2"/>
    <n v="10"/>
    <n v="4"/>
    <n v="2"/>
    <n v="9"/>
    <n v="5"/>
    <n v="1"/>
    <n v="6"/>
    <x v="1"/>
    <x v="2"/>
    <x v="0"/>
  </r>
  <r>
    <n v="31"/>
    <s v="No"/>
    <s v="Travel_Rarely"/>
    <n v="1112"/>
    <x v="0"/>
    <n v="5"/>
    <n v="4"/>
    <s v="Life Sciences"/>
    <n v="1"/>
    <n v="1673"/>
    <n v="1"/>
    <x v="0"/>
    <n v="67"/>
    <n v="3"/>
    <n v="2"/>
    <x v="0"/>
    <x v="0"/>
    <s v="Married"/>
    <n v="5476"/>
    <n v="22589"/>
    <n v="1"/>
    <s v="Y"/>
    <s v="No"/>
    <n v="11"/>
    <n v="3"/>
    <n v="1"/>
    <n v="80"/>
    <n v="2"/>
    <n v="10"/>
    <n v="2"/>
    <n v="3"/>
    <n v="10"/>
    <n v="0"/>
    <n v="0"/>
    <n v="2"/>
    <x v="1"/>
    <x v="2"/>
    <x v="0"/>
  </r>
  <r>
    <n v="49"/>
    <s v="No"/>
    <s v="Travel_Rarely"/>
    <n v="464"/>
    <x v="1"/>
    <n v="16"/>
    <n v="3"/>
    <s v="Medical"/>
    <n v="1"/>
    <n v="1674"/>
    <n v="4"/>
    <x v="0"/>
    <n v="74"/>
    <n v="3"/>
    <n v="1"/>
    <x v="2"/>
    <x v="3"/>
    <s v="Divorced"/>
    <n v="2587"/>
    <n v="24941"/>
    <n v="4"/>
    <s v="Y"/>
    <s v="Yes"/>
    <n v="16"/>
    <n v="3"/>
    <n v="2"/>
    <n v="80"/>
    <n v="1"/>
    <n v="17"/>
    <n v="2"/>
    <n v="2"/>
    <n v="2"/>
    <n v="2"/>
    <n v="2"/>
    <n v="2"/>
    <x v="1"/>
    <x v="1"/>
    <x v="1"/>
  </r>
  <r>
    <n v="38"/>
    <s v="No"/>
    <s v="Travel_Frequently"/>
    <n v="148"/>
    <x v="1"/>
    <n v="2"/>
    <n v="3"/>
    <s v="Medical"/>
    <n v="1"/>
    <n v="1675"/>
    <n v="4"/>
    <x v="0"/>
    <n v="42"/>
    <n v="2"/>
    <n v="1"/>
    <x v="2"/>
    <x v="1"/>
    <s v="Single"/>
    <n v="2440"/>
    <n v="23826"/>
    <n v="1"/>
    <s v="Y"/>
    <s v="No"/>
    <n v="22"/>
    <n v="4"/>
    <n v="2"/>
    <n v="80"/>
    <n v="0"/>
    <n v="4"/>
    <n v="3"/>
    <n v="3"/>
    <n v="4"/>
    <n v="3"/>
    <n v="3"/>
    <n v="3"/>
    <x v="1"/>
    <x v="0"/>
    <x v="2"/>
  </r>
  <r>
    <n v="47"/>
    <s v="No"/>
    <s v="Travel_Rarely"/>
    <n v="1225"/>
    <x v="0"/>
    <n v="2"/>
    <n v="4"/>
    <s v="Life Sciences"/>
    <n v="1"/>
    <n v="1676"/>
    <n v="2"/>
    <x v="0"/>
    <n v="47"/>
    <n v="4"/>
    <n v="4"/>
    <x v="5"/>
    <x v="1"/>
    <s v="Divorced"/>
    <n v="15972"/>
    <n v="21086"/>
    <n v="6"/>
    <s v="Y"/>
    <s v="No"/>
    <n v="14"/>
    <n v="3"/>
    <n v="3"/>
    <n v="80"/>
    <n v="3"/>
    <n v="29"/>
    <n v="2"/>
    <n v="3"/>
    <n v="3"/>
    <n v="2"/>
    <n v="1"/>
    <n v="2"/>
    <x v="1"/>
    <x v="1"/>
    <x v="2"/>
  </r>
  <r>
    <n v="49"/>
    <s v="No"/>
    <s v="Travel_Rarely"/>
    <n v="809"/>
    <x v="1"/>
    <n v="1"/>
    <n v="3"/>
    <s v="Life Sciences"/>
    <n v="1"/>
    <n v="1677"/>
    <n v="3"/>
    <x v="1"/>
    <n v="36"/>
    <n v="3"/>
    <n v="4"/>
    <x v="5"/>
    <x v="2"/>
    <s v="Single"/>
    <n v="15379"/>
    <n v="22384"/>
    <n v="4"/>
    <s v="Y"/>
    <s v="No"/>
    <n v="14"/>
    <n v="3"/>
    <n v="1"/>
    <n v="80"/>
    <n v="0"/>
    <n v="23"/>
    <n v="2"/>
    <n v="3"/>
    <n v="8"/>
    <n v="7"/>
    <n v="0"/>
    <n v="0"/>
    <x v="1"/>
    <x v="1"/>
    <x v="0"/>
  </r>
  <r>
    <n v="41"/>
    <s v="No"/>
    <s v="Travel_Rarely"/>
    <n v="1206"/>
    <x v="0"/>
    <n v="23"/>
    <n v="2"/>
    <s v="Life Sciences"/>
    <n v="1"/>
    <n v="1678"/>
    <n v="4"/>
    <x v="1"/>
    <n v="80"/>
    <n v="3"/>
    <n v="3"/>
    <x v="0"/>
    <x v="2"/>
    <s v="Single"/>
    <n v="7082"/>
    <n v="11591"/>
    <n v="3"/>
    <s v="Y"/>
    <s v="Yes"/>
    <n v="16"/>
    <n v="3"/>
    <n v="4"/>
    <n v="80"/>
    <n v="0"/>
    <n v="21"/>
    <n v="2"/>
    <n v="3"/>
    <n v="2"/>
    <n v="0"/>
    <n v="0"/>
    <n v="2"/>
    <x v="1"/>
    <x v="0"/>
    <x v="1"/>
  </r>
  <r>
    <n v="20"/>
    <s v="No"/>
    <s v="Travel_Rarely"/>
    <n v="727"/>
    <x v="0"/>
    <n v="9"/>
    <n v="1"/>
    <s v="Life Sciences"/>
    <n v="1"/>
    <n v="1680"/>
    <n v="4"/>
    <x v="1"/>
    <n v="54"/>
    <n v="3"/>
    <n v="1"/>
    <x v="6"/>
    <x v="3"/>
    <s v="Single"/>
    <n v="2728"/>
    <n v="21082"/>
    <n v="1"/>
    <s v="Y"/>
    <s v="No"/>
    <n v="11"/>
    <n v="3"/>
    <n v="1"/>
    <n v="80"/>
    <n v="0"/>
    <n v="2"/>
    <n v="3"/>
    <n v="3"/>
    <n v="2"/>
    <n v="2"/>
    <n v="0"/>
    <n v="2"/>
    <x v="1"/>
    <x v="3"/>
    <x v="1"/>
  </r>
  <r>
    <n v="33"/>
    <s v="No"/>
    <s v="Non-Travel"/>
    <n v="530"/>
    <x v="0"/>
    <n v="16"/>
    <n v="3"/>
    <s v="Life Sciences"/>
    <n v="1"/>
    <n v="1681"/>
    <n v="3"/>
    <x v="0"/>
    <n v="36"/>
    <n v="3"/>
    <n v="2"/>
    <x v="0"/>
    <x v="0"/>
    <s v="Divorced"/>
    <n v="5368"/>
    <n v="16130"/>
    <n v="1"/>
    <s v="Y"/>
    <s v="Yes"/>
    <n v="25"/>
    <n v="4"/>
    <n v="3"/>
    <n v="80"/>
    <n v="1"/>
    <n v="7"/>
    <n v="2"/>
    <n v="3"/>
    <n v="6"/>
    <n v="5"/>
    <n v="1"/>
    <n v="2"/>
    <x v="1"/>
    <x v="2"/>
    <x v="0"/>
  </r>
  <r>
    <n v="36"/>
    <s v="No"/>
    <s v="Travel_Rarely"/>
    <n v="1351"/>
    <x v="1"/>
    <n v="26"/>
    <n v="4"/>
    <s v="Life Sciences"/>
    <n v="1"/>
    <n v="1682"/>
    <n v="1"/>
    <x v="1"/>
    <n v="80"/>
    <n v="3"/>
    <n v="2"/>
    <x v="4"/>
    <x v="2"/>
    <s v="Married"/>
    <n v="5347"/>
    <n v="7419"/>
    <n v="6"/>
    <s v="Y"/>
    <s v="No"/>
    <n v="14"/>
    <n v="3"/>
    <n v="2"/>
    <n v="80"/>
    <n v="2"/>
    <n v="10"/>
    <n v="2"/>
    <n v="2"/>
    <n v="3"/>
    <n v="2"/>
    <n v="0"/>
    <n v="2"/>
    <x v="1"/>
    <x v="0"/>
    <x v="2"/>
  </r>
  <r>
    <n v="44"/>
    <s v="No"/>
    <s v="Travel_Rarely"/>
    <n v="528"/>
    <x v="2"/>
    <n v="1"/>
    <n v="3"/>
    <s v="Life Sciences"/>
    <n v="1"/>
    <n v="1683"/>
    <n v="3"/>
    <x v="0"/>
    <n v="44"/>
    <n v="3"/>
    <n v="1"/>
    <x v="8"/>
    <x v="0"/>
    <s v="Divorced"/>
    <n v="3195"/>
    <n v="4167"/>
    <n v="4"/>
    <s v="Y"/>
    <s v="Yes"/>
    <n v="18"/>
    <n v="3"/>
    <n v="1"/>
    <n v="80"/>
    <n v="3"/>
    <n v="8"/>
    <n v="2"/>
    <n v="3"/>
    <n v="2"/>
    <n v="2"/>
    <n v="2"/>
    <n v="2"/>
    <x v="1"/>
    <x v="0"/>
    <x v="1"/>
  </r>
  <r>
    <n v="23"/>
    <s v="Yes"/>
    <s v="Travel_Rarely"/>
    <n v="1320"/>
    <x v="1"/>
    <n v="8"/>
    <n v="1"/>
    <s v="Medical"/>
    <n v="1"/>
    <n v="1684"/>
    <n v="4"/>
    <x v="1"/>
    <n v="93"/>
    <n v="2"/>
    <n v="1"/>
    <x v="2"/>
    <x v="2"/>
    <s v="Single"/>
    <n v="3989"/>
    <n v="20586"/>
    <n v="1"/>
    <s v="Y"/>
    <s v="Yes"/>
    <n v="11"/>
    <n v="3"/>
    <n v="1"/>
    <n v="80"/>
    <n v="0"/>
    <n v="5"/>
    <n v="2"/>
    <n v="3"/>
    <n v="5"/>
    <n v="4"/>
    <n v="1"/>
    <n v="2"/>
    <x v="0"/>
    <x v="3"/>
    <x v="2"/>
  </r>
  <r>
    <n v="38"/>
    <s v="No"/>
    <s v="Travel_Rarely"/>
    <n v="1495"/>
    <x v="1"/>
    <n v="4"/>
    <n v="2"/>
    <s v="Medical"/>
    <n v="1"/>
    <n v="1687"/>
    <n v="4"/>
    <x v="0"/>
    <n v="87"/>
    <n v="3"/>
    <n v="1"/>
    <x v="2"/>
    <x v="2"/>
    <s v="Married"/>
    <n v="3306"/>
    <n v="26176"/>
    <n v="7"/>
    <s v="Y"/>
    <s v="No"/>
    <n v="19"/>
    <n v="3"/>
    <n v="4"/>
    <n v="80"/>
    <n v="1"/>
    <n v="7"/>
    <n v="5"/>
    <n v="2"/>
    <n v="0"/>
    <n v="0"/>
    <n v="0"/>
    <n v="0"/>
    <x v="1"/>
    <x v="0"/>
    <x v="1"/>
  </r>
  <r>
    <n v="53"/>
    <s v="No"/>
    <s v="Travel_Rarely"/>
    <n v="1395"/>
    <x v="1"/>
    <n v="24"/>
    <n v="4"/>
    <s v="Medical"/>
    <n v="1"/>
    <n v="1689"/>
    <n v="2"/>
    <x v="1"/>
    <n v="48"/>
    <n v="4"/>
    <n v="3"/>
    <x v="4"/>
    <x v="0"/>
    <s v="Married"/>
    <n v="7005"/>
    <n v="3458"/>
    <n v="3"/>
    <s v="Y"/>
    <s v="No"/>
    <n v="15"/>
    <n v="3"/>
    <n v="3"/>
    <n v="80"/>
    <n v="0"/>
    <n v="11"/>
    <n v="2"/>
    <n v="3"/>
    <n v="4"/>
    <n v="3"/>
    <n v="1"/>
    <n v="2"/>
    <x v="1"/>
    <x v="1"/>
    <x v="2"/>
  </r>
  <r>
    <n v="48"/>
    <s v="Yes"/>
    <s v="Travel_Frequently"/>
    <n v="708"/>
    <x v="0"/>
    <n v="7"/>
    <n v="2"/>
    <s v="Medical"/>
    <n v="1"/>
    <n v="1691"/>
    <n v="4"/>
    <x v="0"/>
    <n v="95"/>
    <n v="3"/>
    <n v="1"/>
    <x v="6"/>
    <x v="2"/>
    <s v="Married"/>
    <n v="2655"/>
    <n v="11740"/>
    <n v="2"/>
    <s v="Y"/>
    <s v="Yes"/>
    <n v="11"/>
    <n v="3"/>
    <n v="3"/>
    <n v="80"/>
    <n v="2"/>
    <n v="19"/>
    <n v="3"/>
    <n v="3"/>
    <n v="9"/>
    <n v="7"/>
    <n v="7"/>
    <n v="7"/>
    <x v="0"/>
    <x v="1"/>
    <x v="0"/>
  </r>
  <r>
    <n v="32"/>
    <s v="Yes"/>
    <s v="Travel_Rarely"/>
    <n v="1259"/>
    <x v="1"/>
    <n v="2"/>
    <n v="4"/>
    <s v="Life Sciences"/>
    <n v="1"/>
    <n v="1692"/>
    <n v="4"/>
    <x v="1"/>
    <n v="95"/>
    <n v="3"/>
    <n v="1"/>
    <x v="2"/>
    <x v="1"/>
    <s v="Single"/>
    <n v="1393"/>
    <n v="24852"/>
    <n v="1"/>
    <s v="Y"/>
    <s v="No"/>
    <n v="12"/>
    <n v="3"/>
    <n v="1"/>
    <n v="80"/>
    <n v="0"/>
    <n v="1"/>
    <n v="2"/>
    <n v="3"/>
    <n v="1"/>
    <n v="0"/>
    <n v="0"/>
    <n v="0"/>
    <x v="0"/>
    <x v="2"/>
    <x v="1"/>
  </r>
  <r>
    <n v="26"/>
    <s v="No"/>
    <s v="Non-Travel"/>
    <n v="786"/>
    <x v="1"/>
    <n v="7"/>
    <n v="3"/>
    <s v="Medical"/>
    <n v="1"/>
    <n v="1693"/>
    <n v="4"/>
    <x v="1"/>
    <n v="76"/>
    <n v="3"/>
    <n v="1"/>
    <x v="2"/>
    <x v="0"/>
    <s v="Single"/>
    <n v="2570"/>
    <n v="11925"/>
    <n v="1"/>
    <s v="Y"/>
    <s v="No"/>
    <n v="20"/>
    <n v="4"/>
    <n v="3"/>
    <n v="80"/>
    <n v="0"/>
    <n v="7"/>
    <n v="5"/>
    <n v="3"/>
    <n v="7"/>
    <n v="7"/>
    <n v="5"/>
    <n v="7"/>
    <x v="1"/>
    <x v="2"/>
    <x v="0"/>
  </r>
  <r>
    <n v="55"/>
    <s v="No"/>
    <s v="Travel_Rarely"/>
    <n v="1441"/>
    <x v="1"/>
    <n v="22"/>
    <n v="3"/>
    <s v="Technical Degree"/>
    <n v="1"/>
    <n v="1694"/>
    <n v="1"/>
    <x v="1"/>
    <n v="94"/>
    <n v="2"/>
    <n v="1"/>
    <x v="1"/>
    <x v="1"/>
    <s v="Divorced"/>
    <n v="3537"/>
    <n v="23737"/>
    <n v="5"/>
    <s v="Y"/>
    <s v="No"/>
    <n v="12"/>
    <n v="3"/>
    <n v="4"/>
    <n v="80"/>
    <n v="1"/>
    <n v="8"/>
    <n v="1"/>
    <n v="3"/>
    <n v="4"/>
    <n v="2"/>
    <n v="1"/>
    <n v="2"/>
    <x v="1"/>
    <x v="1"/>
    <x v="2"/>
  </r>
  <r>
    <n v="34"/>
    <s v="No"/>
    <s v="Travel_Rarely"/>
    <n v="1157"/>
    <x v="1"/>
    <n v="5"/>
    <n v="2"/>
    <s v="Medical"/>
    <n v="1"/>
    <n v="1696"/>
    <n v="2"/>
    <x v="1"/>
    <n v="57"/>
    <n v="2"/>
    <n v="2"/>
    <x v="2"/>
    <x v="0"/>
    <s v="Married"/>
    <n v="3986"/>
    <n v="11912"/>
    <n v="1"/>
    <s v="Y"/>
    <s v="No"/>
    <n v="14"/>
    <n v="3"/>
    <n v="3"/>
    <n v="80"/>
    <n v="1"/>
    <n v="15"/>
    <n v="3"/>
    <n v="4"/>
    <n v="15"/>
    <n v="10"/>
    <n v="4"/>
    <n v="13"/>
    <x v="1"/>
    <x v="2"/>
    <x v="3"/>
  </r>
  <r>
    <n v="60"/>
    <s v="No"/>
    <s v="Travel_Rarely"/>
    <n v="370"/>
    <x v="1"/>
    <n v="1"/>
    <n v="4"/>
    <s v="Medical"/>
    <n v="1"/>
    <n v="1697"/>
    <n v="3"/>
    <x v="1"/>
    <n v="92"/>
    <n v="1"/>
    <n v="3"/>
    <x v="4"/>
    <x v="0"/>
    <s v="Divorced"/>
    <n v="10883"/>
    <n v="20467"/>
    <n v="3"/>
    <s v="Y"/>
    <s v="No"/>
    <n v="20"/>
    <n v="4"/>
    <n v="3"/>
    <n v="80"/>
    <n v="1"/>
    <n v="19"/>
    <n v="2"/>
    <n v="4"/>
    <n v="1"/>
    <n v="0"/>
    <n v="0"/>
    <n v="0"/>
    <x v="1"/>
    <x v="1"/>
    <x v="1"/>
  </r>
  <r>
    <n v="33"/>
    <s v="No"/>
    <s v="Travel_Rarely"/>
    <n v="267"/>
    <x v="1"/>
    <n v="21"/>
    <n v="3"/>
    <s v="Medical"/>
    <n v="1"/>
    <n v="1698"/>
    <n v="2"/>
    <x v="1"/>
    <n v="79"/>
    <n v="4"/>
    <n v="1"/>
    <x v="2"/>
    <x v="1"/>
    <s v="Married"/>
    <n v="2028"/>
    <n v="13637"/>
    <n v="1"/>
    <s v="Y"/>
    <s v="No"/>
    <n v="18"/>
    <n v="3"/>
    <n v="4"/>
    <n v="80"/>
    <n v="3"/>
    <n v="14"/>
    <n v="6"/>
    <n v="3"/>
    <n v="14"/>
    <n v="11"/>
    <n v="2"/>
    <n v="13"/>
    <x v="1"/>
    <x v="2"/>
    <x v="3"/>
  </r>
  <r>
    <n v="37"/>
    <s v="No"/>
    <s v="Travel_Frequently"/>
    <n v="1278"/>
    <x v="0"/>
    <n v="1"/>
    <n v="4"/>
    <s v="Medical"/>
    <n v="1"/>
    <n v="1700"/>
    <n v="3"/>
    <x v="1"/>
    <n v="31"/>
    <n v="1"/>
    <n v="2"/>
    <x v="0"/>
    <x v="0"/>
    <s v="Divorced"/>
    <n v="9525"/>
    <n v="7677"/>
    <n v="1"/>
    <s v="Y"/>
    <s v="No"/>
    <n v="14"/>
    <n v="3"/>
    <n v="3"/>
    <n v="80"/>
    <n v="2"/>
    <n v="6"/>
    <n v="2"/>
    <n v="2"/>
    <n v="6"/>
    <n v="3"/>
    <n v="1"/>
    <n v="3"/>
    <x v="1"/>
    <x v="0"/>
    <x v="0"/>
  </r>
  <r>
    <n v="34"/>
    <s v="No"/>
    <s v="Travel_Rarely"/>
    <n v="678"/>
    <x v="1"/>
    <n v="19"/>
    <n v="3"/>
    <s v="Life Sciences"/>
    <n v="1"/>
    <n v="1701"/>
    <n v="2"/>
    <x v="0"/>
    <n v="35"/>
    <n v="2"/>
    <n v="1"/>
    <x v="1"/>
    <x v="0"/>
    <s v="Married"/>
    <n v="2929"/>
    <n v="20338"/>
    <n v="1"/>
    <s v="Y"/>
    <s v="No"/>
    <n v="12"/>
    <n v="3"/>
    <n v="2"/>
    <n v="80"/>
    <n v="0"/>
    <n v="10"/>
    <n v="3"/>
    <n v="3"/>
    <n v="10"/>
    <n v="9"/>
    <n v="8"/>
    <n v="7"/>
    <x v="1"/>
    <x v="2"/>
    <x v="0"/>
  </r>
  <r>
    <n v="23"/>
    <s v="Yes"/>
    <s v="Travel_Rarely"/>
    <n v="427"/>
    <x v="0"/>
    <n v="7"/>
    <n v="3"/>
    <s v="Life Sciences"/>
    <n v="1"/>
    <n v="1702"/>
    <n v="3"/>
    <x v="1"/>
    <n v="99"/>
    <n v="3"/>
    <n v="1"/>
    <x v="6"/>
    <x v="0"/>
    <s v="Divorced"/>
    <n v="2275"/>
    <n v="25103"/>
    <n v="1"/>
    <s v="Y"/>
    <s v="Yes"/>
    <n v="21"/>
    <n v="4"/>
    <n v="2"/>
    <n v="80"/>
    <n v="1"/>
    <n v="3"/>
    <n v="2"/>
    <n v="3"/>
    <n v="3"/>
    <n v="2"/>
    <n v="0"/>
    <n v="2"/>
    <x v="0"/>
    <x v="3"/>
    <x v="2"/>
  </r>
  <r>
    <n v="44"/>
    <s v="No"/>
    <s v="Travel_Rarely"/>
    <n v="921"/>
    <x v="1"/>
    <n v="2"/>
    <n v="3"/>
    <s v="Life Sciences"/>
    <n v="1"/>
    <n v="1703"/>
    <n v="3"/>
    <x v="0"/>
    <n v="96"/>
    <n v="4"/>
    <n v="3"/>
    <x v="4"/>
    <x v="0"/>
    <s v="Married"/>
    <n v="7879"/>
    <n v="14810"/>
    <n v="1"/>
    <s v="Y"/>
    <s v="Yes"/>
    <n v="19"/>
    <n v="3"/>
    <n v="2"/>
    <n v="80"/>
    <n v="1"/>
    <n v="9"/>
    <n v="2"/>
    <n v="3"/>
    <n v="8"/>
    <n v="7"/>
    <n v="6"/>
    <n v="7"/>
    <x v="1"/>
    <x v="0"/>
    <x v="0"/>
  </r>
  <r>
    <n v="35"/>
    <s v="No"/>
    <s v="Travel_Frequently"/>
    <n v="146"/>
    <x v="1"/>
    <n v="2"/>
    <n v="4"/>
    <s v="Medical"/>
    <n v="1"/>
    <n v="1704"/>
    <n v="1"/>
    <x v="1"/>
    <n v="79"/>
    <n v="2"/>
    <n v="1"/>
    <x v="1"/>
    <x v="0"/>
    <s v="Single"/>
    <n v="4930"/>
    <n v="13970"/>
    <n v="0"/>
    <s v="Y"/>
    <s v="Yes"/>
    <n v="14"/>
    <n v="3"/>
    <n v="3"/>
    <n v="80"/>
    <n v="0"/>
    <n v="6"/>
    <n v="2"/>
    <n v="4"/>
    <n v="5"/>
    <n v="4"/>
    <n v="1"/>
    <n v="4"/>
    <x v="1"/>
    <x v="2"/>
    <x v="2"/>
  </r>
  <r>
    <n v="43"/>
    <s v="No"/>
    <s v="Travel_Rarely"/>
    <n v="1179"/>
    <x v="0"/>
    <n v="2"/>
    <n v="3"/>
    <s v="Medical"/>
    <n v="1"/>
    <n v="1706"/>
    <n v="4"/>
    <x v="1"/>
    <n v="73"/>
    <n v="3"/>
    <n v="2"/>
    <x v="0"/>
    <x v="0"/>
    <s v="Married"/>
    <n v="7847"/>
    <n v="6069"/>
    <n v="1"/>
    <s v="Y"/>
    <s v="Yes"/>
    <n v="17"/>
    <n v="3"/>
    <n v="1"/>
    <n v="80"/>
    <n v="1"/>
    <n v="10"/>
    <n v="3"/>
    <n v="3"/>
    <n v="10"/>
    <n v="9"/>
    <n v="8"/>
    <n v="8"/>
    <x v="1"/>
    <x v="0"/>
    <x v="0"/>
  </r>
  <r>
    <n v="24"/>
    <s v="No"/>
    <s v="Travel_Rarely"/>
    <n v="581"/>
    <x v="1"/>
    <n v="9"/>
    <n v="3"/>
    <s v="Medical"/>
    <n v="1"/>
    <n v="1707"/>
    <n v="3"/>
    <x v="1"/>
    <n v="62"/>
    <n v="4"/>
    <n v="1"/>
    <x v="1"/>
    <x v="2"/>
    <s v="Married"/>
    <n v="4401"/>
    <n v="17616"/>
    <n v="1"/>
    <s v="Y"/>
    <s v="No"/>
    <n v="16"/>
    <n v="3"/>
    <n v="4"/>
    <n v="80"/>
    <n v="1"/>
    <n v="5"/>
    <n v="1"/>
    <n v="3"/>
    <n v="5"/>
    <n v="3"/>
    <n v="0"/>
    <n v="4"/>
    <x v="1"/>
    <x v="3"/>
    <x v="2"/>
  </r>
  <r>
    <n v="41"/>
    <s v="No"/>
    <s v="Travel_Rarely"/>
    <n v="918"/>
    <x v="0"/>
    <n v="6"/>
    <n v="3"/>
    <s v="Marketing"/>
    <n v="1"/>
    <n v="1708"/>
    <n v="4"/>
    <x v="1"/>
    <n v="35"/>
    <n v="3"/>
    <n v="3"/>
    <x v="0"/>
    <x v="2"/>
    <s v="Single"/>
    <n v="9241"/>
    <n v="15869"/>
    <n v="1"/>
    <s v="Y"/>
    <s v="No"/>
    <n v="12"/>
    <n v="3"/>
    <n v="2"/>
    <n v="80"/>
    <n v="0"/>
    <n v="10"/>
    <n v="3"/>
    <n v="3"/>
    <n v="10"/>
    <n v="8"/>
    <n v="8"/>
    <n v="7"/>
    <x v="1"/>
    <x v="0"/>
    <x v="0"/>
  </r>
  <r>
    <n v="29"/>
    <s v="No"/>
    <s v="Travel_Rarely"/>
    <n v="1082"/>
    <x v="1"/>
    <n v="9"/>
    <n v="4"/>
    <s v="Medical"/>
    <n v="1"/>
    <n v="1709"/>
    <n v="4"/>
    <x v="0"/>
    <n v="43"/>
    <n v="3"/>
    <n v="1"/>
    <x v="2"/>
    <x v="2"/>
    <s v="Married"/>
    <n v="2974"/>
    <n v="25412"/>
    <n v="9"/>
    <s v="Y"/>
    <s v="No"/>
    <n v="17"/>
    <n v="3"/>
    <n v="3"/>
    <n v="80"/>
    <n v="1"/>
    <n v="9"/>
    <n v="2"/>
    <n v="3"/>
    <n v="5"/>
    <n v="3"/>
    <n v="1"/>
    <n v="2"/>
    <x v="1"/>
    <x v="2"/>
    <x v="2"/>
  </r>
  <r>
    <n v="36"/>
    <s v="No"/>
    <s v="Travel_Rarely"/>
    <n v="530"/>
    <x v="0"/>
    <n v="2"/>
    <n v="4"/>
    <s v="Life Sciences"/>
    <n v="1"/>
    <n v="1710"/>
    <n v="3"/>
    <x v="0"/>
    <n v="51"/>
    <n v="3"/>
    <n v="2"/>
    <x v="6"/>
    <x v="0"/>
    <s v="Single"/>
    <n v="4502"/>
    <n v="7439"/>
    <n v="3"/>
    <s v="Y"/>
    <s v="No"/>
    <n v="15"/>
    <n v="3"/>
    <n v="3"/>
    <n v="80"/>
    <n v="0"/>
    <n v="17"/>
    <n v="2"/>
    <n v="2"/>
    <n v="13"/>
    <n v="7"/>
    <n v="6"/>
    <n v="7"/>
    <x v="1"/>
    <x v="0"/>
    <x v="3"/>
  </r>
  <r>
    <n v="45"/>
    <s v="No"/>
    <s v="Non-Travel"/>
    <n v="1238"/>
    <x v="1"/>
    <n v="1"/>
    <n v="1"/>
    <s v="Life Sciences"/>
    <n v="1"/>
    <n v="1712"/>
    <n v="3"/>
    <x v="1"/>
    <n v="74"/>
    <n v="2"/>
    <n v="3"/>
    <x v="4"/>
    <x v="2"/>
    <s v="Married"/>
    <n v="10748"/>
    <n v="3395"/>
    <n v="3"/>
    <s v="Y"/>
    <s v="No"/>
    <n v="23"/>
    <n v="4"/>
    <n v="4"/>
    <n v="80"/>
    <n v="1"/>
    <n v="25"/>
    <n v="3"/>
    <n v="2"/>
    <n v="23"/>
    <n v="15"/>
    <n v="14"/>
    <n v="4"/>
    <x v="1"/>
    <x v="0"/>
    <x v="3"/>
  </r>
  <r>
    <n v="24"/>
    <s v="Yes"/>
    <s v="Travel_Rarely"/>
    <n v="240"/>
    <x v="2"/>
    <n v="22"/>
    <n v="1"/>
    <s v="Human Resources"/>
    <n v="1"/>
    <n v="1714"/>
    <n v="4"/>
    <x v="1"/>
    <n v="58"/>
    <n v="1"/>
    <n v="1"/>
    <x v="8"/>
    <x v="2"/>
    <s v="Married"/>
    <n v="1555"/>
    <n v="11585"/>
    <n v="1"/>
    <s v="Y"/>
    <s v="No"/>
    <n v="11"/>
    <n v="3"/>
    <n v="3"/>
    <n v="80"/>
    <n v="1"/>
    <n v="1"/>
    <n v="2"/>
    <n v="3"/>
    <n v="1"/>
    <n v="0"/>
    <n v="0"/>
    <n v="0"/>
    <x v="0"/>
    <x v="3"/>
    <x v="1"/>
  </r>
  <r>
    <n v="47"/>
    <s v="Yes"/>
    <s v="Travel_Frequently"/>
    <n v="1093"/>
    <x v="0"/>
    <n v="9"/>
    <n v="3"/>
    <s v="Life Sciences"/>
    <n v="1"/>
    <n v="1716"/>
    <n v="3"/>
    <x v="1"/>
    <n v="82"/>
    <n v="1"/>
    <n v="4"/>
    <x v="0"/>
    <x v="2"/>
    <s v="Married"/>
    <n v="12936"/>
    <n v="24164"/>
    <n v="7"/>
    <s v="Y"/>
    <s v="No"/>
    <n v="11"/>
    <n v="3"/>
    <n v="3"/>
    <n v="80"/>
    <n v="0"/>
    <n v="25"/>
    <n v="3"/>
    <n v="1"/>
    <n v="23"/>
    <n v="5"/>
    <n v="14"/>
    <n v="10"/>
    <x v="0"/>
    <x v="1"/>
    <x v="3"/>
  </r>
  <r>
    <n v="26"/>
    <s v="No"/>
    <s v="Travel_Rarely"/>
    <n v="390"/>
    <x v="1"/>
    <n v="17"/>
    <n v="4"/>
    <s v="Medical"/>
    <n v="1"/>
    <n v="1718"/>
    <n v="4"/>
    <x v="1"/>
    <n v="62"/>
    <n v="1"/>
    <n v="1"/>
    <x v="2"/>
    <x v="2"/>
    <s v="Married"/>
    <n v="2305"/>
    <n v="6217"/>
    <n v="1"/>
    <s v="Y"/>
    <s v="No"/>
    <n v="15"/>
    <n v="3"/>
    <n v="3"/>
    <n v="80"/>
    <n v="3"/>
    <n v="3"/>
    <n v="3"/>
    <n v="4"/>
    <n v="3"/>
    <n v="2"/>
    <n v="0"/>
    <n v="2"/>
    <x v="1"/>
    <x v="2"/>
    <x v="2"/>
  </r>
  <r>
    <n v="45"/>
    <s v="No"/>
    <s v="Travel_Rarely"/>
    <n v="1005"/>
    <x v="1"/>
    <n v="28"/>
    <n v="2"/>
    <s v="Technical Degree"/>
    <n v="1"/>
    <n v="1719"/>
    <n v="4"/>
    <x v="0"/>
    <n v="48"/>
    <n v="2"/>
    <n v="4"/>
    <x v="7"/>
    <x v="1"/>
    <s v="Single"/>
    <n v="16704"/>
    <n v="17119"/>
    <n v="1"/>
    <s v="Y"/>
    <s v="No"/>
    <n v="11"/>
    <n v="3"/>
    <n v="3"/>
    <n v="80"/>
    <n v="0"/>
    <n v="21"/>
    <n v="2"/>
    <n v="3"/>
    <n v="21"/>
    <n v="6"/>
    <n v="8"/>
    <n v="6"/>
    <x v="1"/>
    <x v="0"/>
    <x v="3"/>
  </r>
  <r>
    <n v="32"/>
    <s v="No"/>
    <s v="Travel_Frequently"/>
    <n v="585"/>
    <x v="1"/>
    <n v="10"/>
    <n v="3"/>
    <s v="Life Sciences"/>
    <n v="1"/>
    <n v="1720"/>
    <n v="1"/>
    <x v="1"/>
    <n v="56"/>
    <n v="3"/>
    <n v="1"/>
    <x v="1"/>
    <x v="2"/>
    <s v="Married"/>
    <n v="3433"/>
    <n v="17360"/>
    <n v="6"/>
    <s v="Y"/>
    <s v="No"/>
    <n v="13"/>
    <n v="3"/>
    <n v="1"/>
    <n v="80"/>
    <n v="1"/>
    <n v="10"/>
    <n v="3"/>
    <n v="2"/>
    <n v="5"/>
    <n v="2"/>
    <n v="1"/>
    <n v="3"/>
    <x v="1"/>
    <x v="2"/>
    <x v="2"/>
  </r>
  <r>
    <n v="31"/>
    <s v="No"/>
    <s v="Travel_Rarely"/>
    <n v="741"/>
    <x v="1"/>
    <n v="2"/>
    <n v="4"/>
    <s v="Life Sciences"/>
    <n v="1"/>
    <n v="1721"/>
    <n v="2"/>
    <x v="1"/>
    <n v="69"/>
    <n v="3"/>
    <n v="1"/>
    <x v="2"/>
    <x v="2"/>
    <s v="Married"/>
    <n v="3477"/>
    <n v="18103"/>
    <n v="1"/>
    <s v="Y"/>
    <s v="No"/>
    <n v="14"/>
    <n v="3"/>
    <n v="4"/>
    <n v="80"/>
    <n v="1"/>
    <n v="6"/>
    <n v="2"/>
    <n v="4"/>
    <n v="5"/>
    <n v="2"/>
    <n v="0"/>
    <n v="3"/>
    <x v="1"/>
    <x v="2"/>
    <x v="2"/>
  </r>
  <r>
    <n v="41"/>
    <s v="No"/>
    <s v="Non-Travel"/>
    <n v="552"/>
    <x v="2"/>
    <n v="4"/>
    <n v="3"/>
    <s v="Human Resources"/>
    <n v="1"/>
    <n v="1722"/>
    <n v="3"/>
    <x v="1"/>
    <n v="60"/>
    <n v="1"/>
    <n v="2"/>
    <x v="8"/>
    <x v="1"/>
    <s v="Married"/>
    <n v="6430"/>
    <n v="20794"/>
    <n v="6"/>
    <s v="Y"/>
    <s v="No"/>
    <n v="19"/>
    <n v="3"/>
    <n v="2"/>
    <n v="80"/>
    <n v="1"/>
    <n v="10"/>
    <n v="4"/>
    <n v="3"/>
    <n v="3"/>
    <n v="2"/>
    <n v="1"/>
    <n v="2"/>
    <x v="1"/>
    <x v="0"/>
    <x v="2"/>
  </r>
  <r>
    <n v="40"/>
    <s v="No"/>
    <s v="Travel_Rarely"/>
    <n v="369"/>
    <x v="1"/>
    <n v="8"/>
    <n v="2"/>
    <s v="Life Sciences"/>
    <n v="1"/>
    <n v="1724"/>
    <n v="2"/>
    <x v="0"/>
    <n v="92"/>
    <n v="3"/>
    <n v="2"/>
    <x v="3"/>
    <x v="3"/>
    <s v="Married"/>
    <n v="6516"/>
    <n v="5041"/>
    <n v="2"/>
    <s v="Y"/>
    <s v="Yes"/>
    <n v="16"/>
    <n v="3"/>
    <n v="2"/>
    <n v="80"/>
    <n v="1"/>
    <n v="18"/>
    <n v="3"/>
    <n v="3"/>
    <n v="1"/>
    <n v="0"/>
    <n v="0"/>
    <n v="0"/>
    <x v="1"/>
    <x v="0"/>
    <x v="1"/>
  </r>
  <r>
    <n v="24"/>
    <s v="No"/>
    <s v="Travel_Rarely"/>
    <n v="506"/>
    <x v="1"/>
    <n v="29"/>
    <n v="1"/>
    <s v="Medical"/>
    <n v="1"/>
    <n v="1725"/>
    <n v="2"/>
    <x v="1"/>
    <n v="91"/>
    <n v="3"/>
    <n v="1"/>
    <x v="2"/>
    <x v="3"/>
    <s v="Divorced"/>
    <n v="3907"/>
    <n v="3622"/>
    <n v="1"/>
    <s v="Y"/>
    <s v="No"/>
    <n v="13"/>
    <n v="3"/>
    <n v="2"/>
    <n v="80"/>
    <n v="3"/>
    <n v="6"/>
    <n v="2"/>
    <n v="4"/>
    <n v="6"/>
    <n v="2"/>
    <n v="1"/>
    <n v="2"/>
    <x v="1"/>
    <x v="3"/>
    <x v="0"/>
  </r>
  <r>
    <n v="46"/>
    <s v="No"/>
    <s v="Travel_Rarely"/>
    <n v="717"/>
    <x v="1"/>
    <n v="13"/>
    <n v="4"/>
    <s v="Life Sciences"/>
    <n v="1"/>
    <n v="1727"/>
    <n v="3"/>
    <x v="1"/>
    <n v="34"/>
    <n v="3"/>
    <n v="2"/>
    <x v="4"/>
    <x v="1"/>
    <s v="Single"/>
    <n v="5562"/>
    <n v="9697"/>
    <n v="6"/>
    <s v="Y"/>
    <s v="No"/>
    <n v="14"/>
    <n v="3"/>
    <n v="4"/>
    <n v="80"/>
    <n v="0"/>
    <n v="19"/>
    <n v="3"/>
    <n v="3"/>
    <n v="10"/>
    <n v="7"/>
    <n v="0"/>
    <n v="9"/>
    <x v="1"/>
    <x v="1"/>
    <x v="0"/>
  </r>
  <r>
    <n v="35"/>
    <s v="No"/>
    <s v="Travel_Rarely"/>
    <n v="1370"/>
    <x v="1"/>
    <n v="27"/>
    <n v="4"/>
    <s v="Life Sciences"/>
    <n v="1"/>
    <n v="1728"/>
    <n v="4"/>
    <x v="1"/>
    <n v="49"/>
    <n v="3"/>
    <n v="2"/>
    <x v="3"/>
    <x v="2"/>
    <s v="Married"/>
    <n v="6883"/>
    <n v="5151"/>
    <n v="2"/>
    <s v="Y"/>
    <s v="No"/>
    <n v="16"/>
    <n v="3"/>
    <n v="2"/>
    <n v="80"/>
    <n v="1"/>
    <n v="17"/>
    <n v="3"/>
    <n v="3"/>
    <n v="7"/>
    <n v="7"/>
    <n v="0"/>
    <n v="7"/>
    <x v="1"/>
    <x v="2"/>
    <x v="0"/>
  </r>
  <r>
    <n v="30"/>
    <s v="No"/>
    <s v="Travel_Rarely"/>
    <n v="793"/>
    <x v="1"/>
    <n v="16"/>
    <n v="1"/>
    <s v="Life Sciences"/>
    <n v="1"/>
    <n v="1729"/>
    <n v="2"/>
    <x v="1"/>
    <n v="33"/>
    <n v="3"/>
    <n v="1"/>
    <x v="1"/>
    <x v="0"/>
    <s v="Married"/>
    <n v="2862"/>
    <n v="3811"/>
    <n v="1"/>
    <s v="Y"/>
    <s v="No"/>
    <n v="12"/>
    <n v="3"/>
    <n v="2"/>
    <n v="80"/>
    <n v="1"/>
    <n v="10"/>
    <n v="2"/>
    <n v="2"/>
    <n v="10"/>
    <n v="0"/>
    <n v="0"/>
    <n v="8"/>
    <x v="1"/>
    <x v="2"/>
    <x v="0"/>
  </r>
  <r>
    <n v="47"/>
    <s v="No"/>
    <s v="Non-Travel"/>
    <n v="543"/>
    <x v="0"/>
    <n v="2"/>
    <n v="4"/>
    <s v="Marketing"/>
    <n v="1"/>
    <n v="1731"/>
    <n v="3"/>
    <x v="1"/>
    <n v="87"/>
    <n v="3"/>
    <n v="2"/>
    <x v="0"/>
    <x v="1"/>
    <s v="Married"/>
    <n v="4978"/>
    <n v="3536"/>
    <n v="7"/>
    <s v="Y"/>
    <s v="No"/>
    <n v="11"/>
    <n v="3"/>
    <n v="4"/>
    <n v="80"/>
    <n v="1"/>
    <n v="4"/>
    <n v="3"/>
    <n v="1"/>
    <n v="1"/>
    <n v="0"/>
    <n v="0"/>
    <n v="0"/>
    <x v="1"/>
    <x v="1"/>
    <x v="1"/>
  </r>
  <r>
    <n v="46"/>
    <s v="No"/>
    <s v="Travel_Rarely"/>
    <n v="1277"/>
    <x v="0"/>
    <n v="2"/>
    <n v="3"/>
    <s v="Life Sciences"/>
    <n v="1"/>
    <n v="1732"/>
    <n v="3"/>
    <x v="1"/>
    <n v="74"/>
    <n v="3"/>
    <n v="3"/>
    <x v="0"/>
    <x v="0"/>
    <s v="Divorced"/>
    <n v="10368"/>
    <n v="5596"/>
    <n v="4"/>
    <s v="Y"/>
    <s v="Yes"/>
    <n v="12"/>
    <n v="3"/>
    <n v="2"/>
    <n v="80"/>
    <n v="1"/>
    <n v="13"/>
    <n v="5"/>
    <n v="2"/>
    <n v="10"/>
    <n v="6"/>
    <n v="0"/>
    <n v="3"/>
    <x v="1"/>
    <x v="1"/>
    <x v="0"/>
  </r>
  <r>
    <n v="36"/>
    <s v="Yes"/>
    <s v="Travel_Rarely"/>
    <n v="1456"/>
    <x v="0"/>
    <n v="13"/>
    <n v="5"/>
    <s v="Marketing"/>
    <n v="1"/>
    <n v="1733"/>
    <n v="2"/>
    <x v="1"/>
    <n v="96"/>
    <n v="2"/>
    <n v="2"/>
    <x v="0"/>
    <x v="3"/>
    <s v="Divorced"/>
    <n v="6134"/>
    <n v="8658"/>
    <n v="5"/>
    <s v="Y"/>
    <s v="Yes"/>
    <n v="13"/>
    <n v="3"/>
    <n v="2"/>
    <n v="80"/>
    <n v="3"/>
    <n v="16"/>
    <n v="3"/>
    <n v="3"/>
    <n v="2"/>
    <n v="2"/>
    <n v="2"/>
    <n v="2"/>
    <x v="0"/>
    <x v="0"/>
    <x v="1"/>
  </r>
  <r>
    <n v="32"/>
    <s v="Yes"/>
    <s v="Travel_Rarely"/>
    <n v="964"/>
    <x v="0"/>
    <n v="1"/>
    <n v="2"/>
    <s v="Life Sciences"/>
    <n v="1"/>
    <n v="1734"/>
    <n v="1"/>
    <x v="1"/>
    <n v="34"/>
    <n v="1"/>
    <n v="2"/>
    <x v="0"/>
    <x v="1"/>
    <s v="Single"/>
    <n v="6735"/>
    <n v="12147"/>
    <n v="6"/>
    <s v="Y"/>
    <s v="No"/>
    <n v="15"/>
    <n v="3"/>
    <n v="2"/>
    <n v="80"/>
    <n v="0"/>
    <n v="10"/>
    <n v="2"/>
    <n v="3"/>
    <n v="0"/>
    <n v="0"/>
    <n v="0"/>
    <n v="0"/>
    <x v="0"/>
    <x v="2"/>
    <x v="1"/>
  </r>
  <r>
    <n v="23"/>
    <s v="No"/>
    <s v="Travel_Rarely"/>
    <n v="160"/>
    <x v="1"/>
    <n v="4"/>
    <n v="1"/>
    <s v="Medical"/>
    <n v="1"/>
    <n v="1735"/>
    <n v="3"/>
    <x v="0"/>
    <n v="51"/>
    <n v="3"/>
    <n v="1"/>
    <x v="2"/>
    <x v="1"/>
    <s v="Single"/>
    <n v="3295"/>
    <n v="12862"/>
    <n v="1"/>
    <s v="Y"/>
    <s v="No"/>
    <n v="13"/>
    <n v="3"/>
    <n v="3"/>
    <n v="80"/>
    <n v="0"/>
    <n v="3"/>
    <n v="3"/>
    <n v="1"/>
    <n v="3"/>
    <n v="2"/>
    <n v="1"/>
    <n v="2"/>
    <x v="1"/>
    <x v="3"/>
    <x v="2"/>
  </r>
  <r>
    <n v="31"/>
    <s v="No"/>
    <s v="Travel_Frequently"/>
    <n v="163"/>
    <x v="1"/>
    <n v="24"/>
    <n v="1"/>
    <s v="Technical Degree"/>
    <n v="1"/>
    <n v="1736"/>
    <n v="4"/>
    <x v="0"/>
    <n v="30"/>
    <n v="3"/>
    <n v="2"/>
    <x v="3"/>
    <x v="0"/>
    <s v="Single"/>
    <n v="5238"/>
    <n v="6670"/>
    <n v="2"/>
    <s v="Y"/>
    <s v="No"/>
    <n v="20"/>
    <n v="4"/>
    <n v="4"/>
    <n v="80"/>
    <n v="0"/>
    <n v="9"/>
    <n v="3"/>
    <n v="2"/>
    <n v="5"/>
    <n v="4"/>
    <n v="1"/>
    <n v="4"/>
    <x v="1"/>
    <x v="2"/>
    <x v="2"/>
  </r>
  <r>
    <n v="39"/>
    <s v="No"/>
    <s v="Non-Travel"/>
    <n v="792"/>
    <x v="1"/>
    <n v="1"/>
    <n v="3"/>
    <s v="Life Sciences"/>
    <n v="1"/>
    <n v="1737"/>
    <n v="4"/>
    <x v="1"/>
    <n v="77"/>
    <n v="3"/>
    <n v="2"/>
    <x v="2"/>
    <x v="0"/>
    <s v="Married"/>
    <n v="6472"/>
    <n v="8989"/>
    <n v="1"/>
    <s v="Y"/>
    <s v="Yes"/>
    <n v="15"/>
    <n v="3"/>
    <n v="4"/>
    <n v="80"/>
    <n v="1"/>
    <n v="9"/>
    <n v="2"/>
    <n v="3"/>
    <n v="9"/>
    <n v="8"/>
    <n v="5"/>
    <n v="8"/>
    <x v="1"/>
    <x v="0"/>
    <x v="0"/>
  </r>
  <r>
    <n v="32"/>
    <s v="No"/>
    <s v="Travel_Rarely"/>
    <n v="371"/>
    <x v="0"/>
    <n v="19"/>
    <n v="3"/>
    <s v="Life Sciences"/>
    <n v="1"/>
    <n v="1739"/>
    <n v="4"/>
    <x v="1"/>
    <n v="80"/>
    <n v="1"/>
    <n v="3"/>
    <x v="0"/>
    <x v="2"/>
    <s v="Married"/>
    <n v="9610"/>
    <n v="3840"/>
    <n v="3"/>
    <s v="Y"/>
    <s v="No"/>
    <n v="13"/>
    <n v="3"/>
    <n v="3"/>
    <n v="80"/>
    <n v="1"/>
    <n v="10"/>
    <n v="2"/>
    <n v="1"/>
    <n v="4"/>
    <n v="3"/>
    <n v="0"/>
    <n v="2"/>
    <x v="1"/>
    <x v="2"/>
    <x v="2"/>
  </r>
  <r>
    <n v="40"/>
    <s v="No"/>
    <s v="Travel_Rarely"/>
    <n v="611"/>
    <x v="0"/>
    <n v="7"/>
    <n v="4"/>
    <s v="Medical"/>
    <n v="1"/>
    <n v="1740"/>
    <n v="2"/>
    <x v="1"/>
    <n v="88"/>
    <n v="3"/>
    <n v="5"/>
    <x v="5"/>
    <x v="1"/>
    <s v="Single"/>
    <n v="19833"/>
    <n v="4349"/>
    <n v="1"/>
    <s v="Y"/>
    <s v="No"/>
    <n v="14"/>
    <n v="3"/>
    <n v="2"/>
    <n v="80"/>
    <n v="0"/>
    <n v="21"/>
    <n v="3"/>
    <n v="2"/>
    <n v="21"/>
    <n v="8"/>
    <n v="12"/>
    <n v="8"/>
    <x v="1"/>
    <x v="0"/>
    <x v="3"/>
  </r>
  <r>
    <n v="45"/>
    <s v="No"/>
    <s v="Travel_Rarely"/>
    <n v="176"/>
    <x v="2"/>
    <n v="4"/>
    <n v="3"/>
    <s v="Life Sciences"/>
    <n v="1"/>
    <n v="1744"/>
    <n v="3"/>
    <x v="0"/>
    <n v="56"/>
    <n v="1"/>
    <n v="3"/>
    <x v="8"/>
    <x v="2"/>
    <s v="Married"/>
    <n v="9756"/>
    <n v="6595"/>
    <n v="4"/>
    <s v="Y"/>
    <s v="No"/>
    <n v="21"/>
    <n v="4"/>
    <n v="3"/>
    <n v="80"/>
    <n v="2"/>
    <n v="9"/>
    <n v="2"/>
    <n v="4"/>
    <n v="5"/>
    <n v="0"/>
    <n v="0"/>
    <n v="3"/>
    <x v="1"/>
    <x v="0"/>
    <x v="2"/>
  </r>
  <r>
    <n v="30"/>
    <s v="No"/>
    <s v="Travel_Frequently"/>
    <n v="1312"/>
    <x v="1"/>
    <n v="2"/>
    <n v="4"/>
    <s v="Technical Degree"/>
    <n v="1"/>
    <n v="1745"/>
    <n v="4"/>
    <x v="0"/>
    <n v="78"/>
    <n v="2"/>
    <n v="1"/>
    <x v="1"/>
    <x v="3"/>
    <s v="Single"/>
    <n v="4968"/>
    <n v="26427"/>
    <n v="0"/>
    <s v="Y"/>
    <s v="No"/>
    <n v="16"/>
    <n v="3"/>
    <n v="4"/>
    <n v="80"/>
    <n v="0"/>
    <n v="10"/>
    <n v="2"/>
    <n v="3"/>
    <n v="9"/>
    <n v="7"/>
    <n v="0"/>
    <n v="7"/>
    <x v="1"/>
    <x v="2"/>
    <x v="0"/>
  </r>
  <r>
    <n v="24"/>
    <s v="No"/>
    <s v="Travel_Frequently"/>
    <n v="897"/>
    <x v="2"/>
    <n v="10"/>
    <n v="3"/>
    <s v="Medical"/>
    <n v="1"/>
    <n v="1746"/>
    <n v="1"/>
    <x v="1"/>
    <n v="59"/>
    <n v="3"/>
    <n v="1"/>
    <x v="8"/>
    <x v="0"/>
    <s v="Married"/>
    <n v="2145"/>
    <n v="2097"/>
    <n v="0"/>
    <s v="Y"/>
    <s v="No"/>
    <n v="14"/>
    <n v="3"/>
    <n v="4"/>
    <n v="80"/>
    <n v="1"/>
    <n v="3"/>
    <n v="2"/>
    <n v="3"/>
    <n v="2"/>
    <n v="2"/>
    <n v="2"/>
    <n v="1"/>
    <x v="1"/>
    <x v="3"/>
    <x v="1"/>
  </r>
  <r>
    <n v="30"/>
    <s v="Yes"/>
    <s v="Travel_Frequently"/>
    <n v="600"/>
    <x v="2"/>
    <n v="8"/>
    <n v="3"/>
    <s v="Human Resources"/>
    <n v="1"/>
    <n v="1747"/>
    <n v="3"/>
    <x v="0"/>
    <n v="66"/>
    <n v="2"/>
    <n v="1"/>
    <x v="8"/>
    <x v="0"/>
    <s v="Divorced"/>
    <n v="2180"/>
    <n v="9732"/>
    <n v="6"/>
    <s v="Y"/>
    <s v="No"/>
    <n v="11"/>
    <n v="3"/>
    <n v="3"/>
    <n v="80"/>
    <n v="1"/>
    <n v="6"/>
    <n v="0"/>
    <n v="2"/>
    <n v="4"/>
    <n v="2"/>
    <n v="1"/>
    <n v="2"/>
    <x v="0"/>
    <x v="2"/>
    <x v="2"/>
  </r>
  <r>
    <n v="31"/>
    <s v="No"/>
    <s v="Travel_Rarely"/>
    <n v="1003"/>
    <x v="0"/>
    <n v="5"/>
    <n v="3"/>
    <s v="Technical Degree"/>
    <n v="1"/>
    <n v="1749"/>
    <n v="1"/>
    <x v="1"/>
    <n v="51"/>
    <n v="3"/>
    <n v="2"/>
    <x v="0"/>
    <x v="2"/>
    <s v="Married"/>
    <n v="8346"/>
    <n v="20943"/>
    <n v="1"/>
    <s v="Y"/>
    <s v="No"/>
    <n v="19"/>
    <n v="3"/>
    <n v="3"/>
    <n v="80"/>
    <n v="1"/>
    <n v="6"/>
    <n v="3"/>
    <n v="3"/>
    <n v="5"/>
    <n v="2"/>
    <n v="0"/>
    <n v="2"/>
    <x v="1"/>
    <x v="2"/>
    <x v="2"/>
  </r>
  <r>
    <n v="27"/>
    <s v="No"/>
    <s v="Travel_Rarely"/>
    <n v="1054"/>
    <x v="1"/>
    <n v="8"/>
    <n v="3"/>
    <s v="Medical"/>
    <n v="1"/>
    <n v="1751"/>
    <n v="3"/>
    <x v="0"/>
    <n v="67"/>
    <n v="3"/>
    <n v="1"/>
    <x v="1"/>
    <x v="0"/>
    <s v="Single"/>
    <n v="3445"/>
    <n v="6152"/>
    <n v="1"/>
    <s v="Y"/>
    <s v="No"/>
    <n v="11"/>
    <n v="3"/>
    <n v="3"/>
    <n v="80"/>
    <n v="0"/>
    <n v="6"/>
    <n v="5"/>
    <n v="2"/>
    <n v="6"/>
    <n v="2"/>
    <n v="1"/>
    <n v="4"/>
    <x v="1"/>
    <x v="2"/>
    <x v="0"/>
  </r>
  <r>
    <n v="29"/>
    <s v="Yes"/>
    <s v="Travel_Rarely"/>
    <n v="428"/>
    <x v="0"/>
    <n v="9"/>
    <n v="3"/>
    <s v="Marketing"/>
    <n v="1"/>
    <n v="1752"/>
    <n v="2"/>
    <x v="0"/>
    <n v="52"/>
    <n v="1"/>
    <n v="1"/>
    <x v="6"/>
    <x v="1"/>
    <s v="Single"/>
    <n v="2760"/>
    <n v="14630"/>
    <n v="1"/>
    <s v="Y"/>
    <s v="No"/>
    <n v="13"/>
    <n v="3"/>
    <n v="3"/>
    <n v="80"/>
    <n v="0"/>
    <n v="2"/>
    <n v="3"/>
    <n v="3"/>
    <n v="2"/>
    <n v="2"/>
    <n v="2"/>
    <n v="2"/>
    <x v="0"/>
    <x v="2"/>
    <x v="1"/>
  </r>
  <r>
    <n v="29"/>
    <s v="No"/>
    <s v="Travel_Frequently"/>
    <n v="461"/>
    <x v="1"/>
    <n v="1"/>
    <n v="3"/>
    <s v="Life Sciences"/>
    <n v="1"/>
    <n v="1753"/>
    <n v="4"/>
    <x v="1"/>
    <n v="70"/>
    <n v="4"/>
    <n v="2"/>
    <x v="4"/>
    <x v="2"/>
    <s v="Single"/>
    <n v="6294"/>
    <n v="23060"/>
    <n v="8"/>
    <s v="Y"/>
    <s v="Yes"/>
    <n v="12"/>
    <n v="3"/>
    <n v="4"/>
    <n v="80"/>
    <n v="0"/>
    <n v="10"/>
    <n v="5"/>
    <n v="4"/>
    <n v="3"/>
    <n v="2"/>
    <n v="0"/>
    <n v="2"/>
    <x v="1"/>
    <x v="2"/>
    <x v="2"/>
  </r>
  <r>
    <n v="30"/>
    <s v="No"/>
    <s v="Travel_Rarely"/>
    <n v="979"/>
    <x v="0"/>
    <n v="15"/>
    <n v="2"/>
    <s v="Marketing"/>
    <n v="1"/>
    <n v="1754"/>
    <n v="3"/>
    <x v="1"/>
    <n v="94"/>
    <n v="2"/>
    <n v="3"/>
    <x v="0"/>
    <x v="3"/>
    <s v="Divorced"/>
    <n v="7140"/>
    <n v="3088"/>
    <n v="2"/>
    <s v="Y"/>
    <s v="No"/>
    <n v="11"/>
    <n v="3"/>
    <n v="1"/>
    <n v="80"/>
    <n v="1"/>
    <n v="12"/>
    <n v="2"/>
    <n v="3"/>
    <n v="7"/>
    <n v="7"/>
    <n v="1"/>
    <n v="7"/>
    <x v="1"/>
    <x v="2"/>
    <x v="0"/>
  </r>
  <r>
    <n v="34"/>
    <s v="No"/>
    <s v="Travel_Rarely"/>
    <n v="181"/>
    <x v="1"/>
    <n v="2"/>
    <n v="4"/>
    <s v="Medical"/>
    <n v="1"/>
    <n v="1755"/>
    <n v="4"/>
    <x v="1"/>
    <n v="97"/>
    <n v="4"/>
    <n v="1"/>
    <x v="1"/>
    <x v="0"/>
    <s v="Married"/>
    <n v="2932"/>
    <n v="5586"/>
    <n v="0"/>
    <s v="Y"/>
    <s v="Yes"/>
    <n v="14"/>
    <n v="3"/>
    <n v="1"/>
    <n v="80"/>
    <n v="3"/>
    <n v="6"/>
    <n v="3"/>
    <n v="3"/>
    <n v="5"/>
    <n v="0"/>
    <n v="1"/>
    <n v="2"/>
    <x v="1"/>
    <x v="2"/>
    <x v="2"/>
  </r>
  <r>
    <n v="33"/>
    <s v="No"/>
    <s v="Non-Travel"/>
    <n v="1283"/>
    <x v="0"/>
    <n v="2"/>
    <n v="3"/>
    <s v="Marketing"/>
    <n v="1"/>
    <n v="1756"/>
    <n v="4"/>
    <x v="0"/>
    <n v="62"/>
    <n v="3"/>
    <n v="2"/>
    <x v="0"/>
    <x v="1"/>
    <s v="Single"/>
    <n v="5147"/>
    <n v="10697"/>
    <n v="8"/>
    <s v="Y"/>
    <s v="No"/>
    <n v="15"/>
    <n v="3"/>
    <n v="4"/>
    <n v="80"/>
    <n v="0"/>
    <n v="13"/>
    <n v="2"/>
    <n v="2"/>
    <n v="11"/>
    <n v="7"/>
    <n v="1"/>
    <n v="7"/>
    <x v="1"/>
    <x v="2"/>
    <x v="3"/>
  </r>
  <r>
    <n v="49"/>
    <s v="No"/>
    <s v="Travel_Rarely"/>
    <n v="1313"/>
    <x v="0"/>
    <n v="11"/>
    <n v="4"/>
    <s v="Marketing"/>
    <n v="1"/>
    <n v="1757"/>
    <n v="4"/>
    <x v="0"/>
    <n v="80"/>
    <n v="3"/>
    <n v="2"/>
    <x v="0"/>
    <x v="0"/>
    <s v="Single"/>
    <n v="4507"/>
    <n v="8191"/>
    <n v="3"/>
    <s v="Y"/>
    <s v="No"/>
    <n v="12"/>
    <n v="3"/>
    <n v="3"/>
    <n v="80"/>
    <n v="0"/>
    <n v="8"/>
    <n v="1"/>
    <n v="4"/>
    <n v="5"/>
    <n v="1"/>
    <n v="0"/>
    <n v="4"/>
    <x v="1"/>
    <x v="1"/>
    <x v="2"/>
  </r>
  <r>
    <n v="33"/>
    <s v="Yes"/>
    <s v="Travel_Rarely"/>
    <n v="211"/>
    <x v="0"/>
    <n v="16"/>
    <n v="3"/>
    <s v="Life Sciences"/>
    <n v="1"/>
    <n v="1758"/>
    <n v="1"/>
    <x v="0"/>
    <n v="74"/>
    <n v="3"/>
    <n v="3"/>
    <x v="0"/>
    <x v="3"/>
    <s v="Single"/>
    <n v="8564"/>
    <n v="10092"/>
    <n v="2"/>
    <s v="Y"/>
    <s v="Yes"/>
    <n v="20"/>
    <n v="4"/>
    <n v="3"/>
    <n v="80"/>
    <n v="0"/>
    <n v="11"/>
    <n v="2"/>
    <n v="2"/>
    <n v="0"/>
    <n v="0"/>
    <n v="0"/>
    <n v="0"/>
    <x v="0"/>
    <x v="2"/>
    <x v="1"/>
  </r>
  <r>
    <n v="38"/>
    <s v="No"/>
    <s v="Travel_Frequently"/>
    <n v="594"/>
    <x v="1"/>
    <n v="2"/>
    <n v="2"/>
    <s v="Medical"/>
    <n v="1"/>
    <n v="1760"/>
    <n v="3"/>
    <x v="0"/>
    <n v="75"/>
    <n v="2"/>
    <n v="1"/>
    <x v="2"/>
    <x v="1"/>
    <s v="Married"/>
    <n v="2468"/>
    <n v="15963"/>
    <n v="4"/>
    <s v="Y"/>
    <s v="No"/>
    <n v="14"/>
    <n v="3"/>
    <n v="2"/>
    <n v="80"/>
    <n v="1"/>
    <n v="9"/>
    <n v="4"/>
    <n v="2"/>
    <n v="6"/>
    <n v="1"/>
    <n v="0"/>
    <n v="5"/>
    <x v="1"/>
    <x v="0"/>
    <x v="0"/>
  </r>
  <r>
    <n v="31"/>
    <s v="Yes"/>
    <s v="Travel_Rarely"/>
    <n v="1079"/>
    <x v="0"/>
    <n v="16"/>
    <n v="4"/>
    <s v="Marketing"/>
    <n v="1"/>
    <n v="1761"/>
    <n v="1"/>
    <x v="1"/>
    <n v="70"/>
    <n v="3"/>
    <n v="3"/>
    <x v="0"/>
    <x v="2"/>
    <s v="Married"/>
    <n v="8161"/>
    <n v="19002"/>
    <n v="2"/>
    <s v="Y"/>
    <s v="No"/>
    <n v="13"/>
    <n v="3"/>
    <n v="1"/>
    <n v="80"/>
    <n v="3"/>
    <n v="10"/>
    <n v="2"/>
    <n v="3"/>
    <n v="1"/>
    <n v="0"/>
    <n v="0"/>
    <n v="0"/>
    <x v="0"/>
    <x v="2"/>
    <x v="1"/>
  </r>
  <r>
    <n v="29"/>
    <s v="No"/>
    <s v="Travel_Rarely"/>
    <n v="590"/>
    <x v="1"/>
    <n v="4"/>
    <n v="3"/>
    <s v="Technical Degree"/>
    <n v="1"/>
    <n v="1762"/>
    <n v="4"/>
    <x v="0"/>
    <n v="91"/>
    <n v="2"/>
    <n v="1"/>
    <x v="1"/>
    <x v="3"/>
    <s v="Divorced"/>
    <n v="2109"/>
    <n v="10007"/>
    <n v="1"/>
    <s v="Y"/>
    <s v="No"/>
    <n v="13"/>
    <n v="3"/>
    <n v="3"/>
    <n v="80"/>
    <n v="1"/>
    <n v="1"/>
    <n v="2"/>
    <n v="3"/>
    <n v="1"/>
    <n v="0"/>
    <n v="0"/>
    <n v="0"/>
    <x v="1"/>
    <x v="2"/>
    <x v="1"/>
  </r>
  <r>
    <n v="30"/>
    <s v="No"/>
    <s v="Travel_Rarely"/>
    <n v="305"/>
    <x v="1"/>
    <n v="16"/>
    <n v="3"/>
    <s v="Life Sciences"/>
    <n v="1"/>
    <n v="1763"/>
    <n v="3"/>
    <x v="1"/>
    <n v="58"/>
    <n v="4"/>
    <n v="2"/>
    <x v="4"/>
    <x v="2"/>
    <s v="Married"/>
    <n v="5294"/>
    <n v="9128"/>
    <n v="3"/>
    <s v="Y"/>
    <s v="No"/>
    <n v="16"/>
    <n v="3"/>
    <n v="3"/>
    <n v="80"/>
    <n v="1"/>
    <n v="10"/>
    <n v="3"/>
    <n v="3"/>
    <n v="7"/>
    <n v="0"/>
    <n v="1"/>
    <n v="7"/>
    <x v="1"/>
    <x v="2"/>
    <x v="0"/>
  </r>
  <r>
    <n v="32"/>
    <s v="No"/>
    <s v="Non-Travel"/>
    <n v="953"/>
    <x v="1"/>
    <n v="5"/>
    <n v="4"/>
    <s v="Technical Degree"/>
    <n v="1"/>
    <n v="1764"/>
    <n v="2"/>
    <x v="1"/>
    <n v="65"/>
    <n v="3"/>
    <n v="1"/>
    <x v="1"/>
    <x v="1"/>
    <s v="Single"/>
    <n v="2718"/>
    <n v="17674"/>
    <n v="2"/>
    <s v="Y"/>
    <s v="No"/>
    <n v="14"/>
    <n v="3"/>
    <n v="2"/>
    <n v="80"/>
    <n v="0"/>
    <n v="12"/>
    <n v="3"/>
    <n v="3"/>
    <n v="7"/>
    <n v="7"/>
    <n v="0"/>
    <n v="7"/>
    <x v="1"/>
    <x v="2"/>
    <x v="0"/>
  </r>
  <r>
    <n v="38"/>
    <s v="No"/>
    <s v="Travel_Rarely"/>
    <n v="833"/>
    <x v="1"/>
    <n v="18"/>
    <n v="3"/>
    <s v="Medical"/>
    <n v="1"/>
    <n v="1766"/>
    <n v="2"/>
    <x v="1"/>
    <n v="60"/>
    <n v="1"/>
    <n v="2"/>
    <x v="4"/>
    <x v="0"/>
    <s v="Married"/>
    <n v="5811"/>
    <n v="24539"/>
    <n v="3"/>
    <s v="Y"/>
    <s v="Yes"/>
    <n v="16"/>
    <n v="3"/>
    <n v="3"/>
    <n v="80"/>
    <n v="1"/>
    <n v="15"/>
    <n v="2"/>
    <n v="3"/>
    <n v="1"/>
    <n v="0"/>
    <n v="1"/>
    <n v="0"/>
    <x v="1"/>
    <x v="0"/>
    <x v="1"/>
  </r>
  <r>
    <n v="43"/>
    <s v="Yes"/>
    <s v="Travel_Frequently"/>
    <n v="807"/>
    <x v="1"/>
    <n v="17"/>
    <n v="3"/>
    <s v="Technical Degree"/>
    <n v="1"/>
    <n v="1767"/>
    <n v="3"/>
    <x v="1"/>
    <n v="38"/>
    <n v="2"/>
    <n v="1"/>
    <x v="1"/>
    <x v="2"/>
    <s v="Married"/>
    <n v="2437"/>
    <n v="15587"/>
    <n v="9"/>
    <s v="Y"/>
    <s v="Yes"/>
    <n v="16"/>
    <n v="3"/>
    <n v="4"/>
    <n v="80"/>
    <n v="1"/>
    <n v="6"/>
    <n v="4"/>
    <n v="3"/>
    <n v="1"/>
    <n v="0"/>
    <n v="0"/>
    <n v="0"/>
    <x v="0"/>
    <x v="0"/>
    <x v="1"/>
  </r>
  <r>
    <n v="42"/>
    <s v="No"/>
    <s v="Travel_Rarely"/>
    <n v="855"/>
    <x v="1"/>
    <n v="12"/>
    <n v="3"/>
    <s v="Medical"/>
    <n v="1"/>
    <n v="1768"/>
    <n v="2"/>
    <x v="1"/>
    <n v="57"/>
    <n v="3"/>
    <n v="1"/>
    <x v="2"/>
    <x v="1"/>
    <s v="Divorced"/>
    <n v="2766"/>
    <n v="8952"/>
    <n v="8"/>
    <s v="Y"/>
    <s v="No"/>
    <n v="22"/>
    <n v="4"/>
    <n v="2"/>
    <n v="80"/>
    <n v="3"/>
    <n v="7"/>
    <n v="6"/>
    <n v="2"/>
    <n v="5"/>
    <n v="3"/>
    <n v="0"/>
    <n v="4"/>
    <x v="1"/>
    <x v="0"/>
    <x v="2"/>
  </r>
  <r>
    <n v="55"/>
    <s v="No"/>
    <s v="Travel_Rarely"/>
    <n v="478"/>
    <x v="1"/>
    <n v="2"/>
    <n v="3"/>
    <s v="Medical"/>
    <n v="1"/>
    <n v="1770"/>
    <n v="3"/>
    <x v="1"/>
    <n v="60"/>
    <n v="2"/>
    <n v="5"/>
    <x v="7"/>
    <x v="3"/>
    <s v="Married"/>
    <n v="19038"/>
    <n v="19805"/>
    <n v="8"/>
    <s v="Y"/>
    <s v="No"/>
    <n v="12"/>
    <n v="3"/>
    <n v="2"/>
    <n v="80"/>
    <n v="3"/>
    <n v="34"/>
    <n v="2"/>
    <n v="3"/>
    <n v="1"/>
    <n v="0"/>
    <n v="0"/>
    <n v="0"/>
    <x v="1"/>
    <x v="1"/>
    <x v="1"/>
  </r>
  <r>
    <n v="33"/>
    <s v="No"/>
    <s v="Non-Travel"/>
    <n v="775"/>
    <x v="1"/>
    <n v="4"/>
    <n v="3"/>
    <s v="Technical Degree"/>
    <n v="1"/>
    <n v="1771"/>
    <n v="4"/>
    <x v="1"/>
    <n v="90"/>
    <n v="3"/>
    <n v="2"/>
    <x v="1"/>
    <x v="1"/>
    <s v="Divorced"/>
    <n v="3055"/>
    <n v="6194"/>
    <n v="5"/>
    <s v="Y"/>
    <s v="No"/>
    <n v="15"/>
    <n v="3"/>
    <n v="4"/>
    <n v="80"/>
    <n v="2"/>
    <n v="11"/>
    <n v="2"/>
    <n v="2"/>
    <n v="9"/>
    <n v="8"/>
    <n v="1"/>
    <n v="7"/>
    <x v="1"/>
    <x v="2"/>
    <x v="0"/>
  </r>
  <r>
    <n v="41"/>
    <s v="No"/>
    <s v="Travel_Rarely"/>
    <n v="548"/>
    <x v="1"/>
    <n v="9"/>
    <n v="4"/>
    <s v="Life Sciences"/>
    <n v="1"/>
    <n v="1772"/>
    <n v="3"/>
    <x v="1"/>
    <n v="94"/>
    <n v="3"/>
    <n v="1"/>
    <x v="2"/>
    <x v="3"/>
    <s v="Divorced"/>
    <n v="2289"/>
    <n v="20520"/>
    <n v="1"/>
    <s v="Y"/>
    <s v="No"/>
    <n v="20"/>
    <n v="4"/>
    <n v="2"/>
    <n v="80"/>
    <n v="2"/>
    <n v="5"/>
    <n v="2"/>
    <n v="3"/>
    <n v="5"/>
    <n v="3"/>
    <n v="0"/>
    <n v="4"/>
    <x v="1"/>
    <x v="0"/>
    <x v="2"/>
  </r>
  <r>
    <n v="34"/>
    <s v="No"/>
    <s v="Non-Travel"/>
    <n v="1375"/>
    <x v="0"/>
    <n v="10"/>
    <n v="3"/>
    <s v="Life Sciences"/>
    <n v="1"/>
    <n v="1774"/>
    <n v="4"/>
    <x v="1"/>
    <n v="87"/>
    <n v="3"/>
    <n v="2"/>
    <x v="0"/>
    <x v="2"/>
    <s v="Divorced"/>
    <n v="4001"/>
    <n v="12313"/>
    <n v="1"/>
    <s v="Y"/>
    <s v="Yes"/>
    <n v="14"/>
    <n v="3"/>
    <n v="3"/>
    <n v="80"/>
    <n v="1"/>
    <n v="15"/>
    <n v="3"/>
    <n v="3"/>
    <n v="15"/>
    <n v="14"/>
    <n v="0"/>
    <n v="7"/>
    <x v="1"/>
    <x v="2"/>
    <x v="3"/>
  </r>
  <r>
    <n v="53"/>
    <s v="No"/>
    <s v="Non-Travel"/>
    <n v="661"/>
    <x v="1"/>
    <n v="1"/>
    <n v="4"/>
    <s v="Medical"/>
    <n v="1"/>
    <n v="1775"/>
    <n v="1"/>
    <x v="0"/>
    <n v="60"/>
    <n v="2"/>
    <n v="4"/>
    <x v="3"/>
    <x v="2"/>
    <s v="Married"/>
    <n v="12965"/>
    <n v="22308"/>
    <n v="4"/>
    <s v="Y"/>
    <s v="Yes"/>
    <n v="20"/>
    <n v="4"/>
    <n v="4"/>
    <n v="80"/>
    <n v="3"/>
    <n v="27"/>
    <n v="2"/>
    <n v="2"/>
    <n v="3"/>
    <n v="2"/>
    <n v="0"/>
    <n v="2"/>
    <x v="1"/>
    <x v="1"/>
    <x v="2"/>
  </r>
  <r>
    <n v="43"/>
    <s v="No"/>
    <s v="Travel_Rarely"/>
    <n v="244"/>
    <x v="2"/>
    <n v="2"/>
    <n v="3"/>
    <s v="Life Sciences"/>
    <n v="1"/>
    <n v="1778"/>
    <n v="2"/>
    <x v="1"/>
    <n v="97"/>
    <n v="3"/>
    <n v="1"/>
    <x v="8"/>
    <x v="0"/>
    <s v="Single"/>
    <n v="3539"/>
    <n v="5033"/>
    <n v="0"/>
    <s v="Y"/>
    <s v="No"/>
    <n v="13"/>
    <n v="3"/>
    <n v="2"/>
    <n v="80"/>
    <n v="0"/>
    <n v="10"/>
    <n v="5"/>
    <n v="3"/>
    <n v="9"/>
    <n v="7"/>
    <n v="1"/>
    <n v="8"/>
    <x v="1"/>
    <x v="0"/>
    <x v="0"/>
  </r>
  <r>
    <n v="34"/>
    <s v="No"/>
    <s v="Travel_Rarely"/>
    <n v="511"/>
    <x v="0"/>
    <n v="3"/>
    <n v="2"/>
    <s v="Life Sciences"/>
    <n v="1"/>
    <n v="1779"/>
    <n v="4"/>
    <x v="0"/>
    <n v="32"/>
    <n v="1"/>
    <n v="2"/>
    <x v="0"/>
    <x v="0"/>
    <s v="Single"/>
    <n v="6029"/>
    <n v="25353"/>
    <n v="5"/>
    <s v="Y"/>
    <s v="No"/>
    <n v="12"/>
    <n v="3"/>
    <n v="1"/>
    <n v="80"/>
    <n v="0"/>
    <n v="6"/>
    <n v="3"/>
    <n v="3"/>
    <n v="2"/>
    <n v="2"/>
    <n v="2"/>
    <n v="2"/>
    <x v="1"/>
    <x v="2"/>
    <x v="1"/>
  </r>
  <r>
    <n v="21"/>
    <s v="Yes"/>
    <s v="Travel_Rarely"/>
    <n v="337"/>
    <x v="0"/>
    <n v="7"/>
    <n v="1"/>
    <s v="Marketing"/>
    <n v="1"/>
    <n v="1780"/>
    <n v="2"/>
    <x v="1"/>
    <n v="31"/>
    <n v="3"/>
    <n v="1"/>
    <x v="6"/>
    <x v="1"/>
    <s v="Single"/>
    <n v="2679"/>
    <n v="4567"/>
    <n v="1"/>
    <s v="Y"/>
    <s v="No"/>
    <n v="13"/>
    <n v="3"/>
    <n v="2"/>
    <n v="80"/>
    <n v="0"/>
    <n v="1"/>
    <n v="3"/>
    <n v="3"/>
    <n v="1"/>
    <n v="0"/>
    <n v="1"/>
    <n v="0"/>
    <x v="0"/>
    <x v="3"/>
    <x v="1"/>
  </r>
  <r>
    <n v="38"/>
    <s v="No"/>
    <s v="Travel_Rarely"/>
    <n v="1153"/>
    <x v="1"/>
    <n v="6"/>
    <n v="2"/>
    <s v="Other"/>
    <n v="1"/>
    <n v="1782"/>
    <n v="4"/>
    <x v="0"/>
    <n v="40"/>
    <n v="2"/>
    <n v="1"/>
    <x v="2"/>
    <x v="2"/>
    <s v="Married"/>
    <n v="3702"/>
    <n v="16376"/>
    <n v="1"/>
    <s v="Y"/>
    <s v="No"/>
    <n v="11"/>
    <n v="3"/>
    <n v="2"/>
    <n v="80"/>
    <n v="1"/>
    <n v="5"/>
    <n v="3"/>
    <n v="3"/>
    <n v="5"/>
    <n v="4"/>
    <n v="0"/>
    <n v="4"/>
    <x v="1"/>
    <x v="0"/>
    <x v="2"/>
  </r>
  <r>
    <n v="22"/>
    <s v="Yes"/>
    <s v="Travel_Rarely"/>
    <n v="1294"/>
    <x v="1"/>
    <n v="8"/>
    <n v="1"/>
    <s v="Medical"/>
    <n v="1"/>
    <n v="1783"/>
    <n v="3"/>
    <x v="0"/>
    <n v="79"/>
    <n v="3"/>
    <n v="1"/>
    <x v="2"/>
    <x v="3"/>
    <s v="Married"/>
    <n v="2398"/>
    <n v="15999"/>
    <n v="1"/>
    <s v="Y"/>
    <s v="Yes"/>
    <n v="17"/>
    <n v="3"/>
    <n v="3"/>
    <n v="80"/>
    <n v="0"/>
    <n v="1"/>
    <n v="6"/>
    <n v="3"/>
    <n v="1"/>
    <n v="0"/>
    <n v="0"/>
    <n v="0"/>
    <x v="0"/>
    <x v="3"/>
    <x v="1"/>
  </r>
  <r>
    <n v="31"/>
    <s v="No"/>
    <s v="Travel_Rarely"/>
    <n v="196"/>
    <x v="0"/>
    <n v="29"/>
    <n v="4"/>
    <s v="Marketing"/>
    <n v="1"/>
    <n v="1784"/>
    <n v="1"/>
    <x v="0"/>
    <n v="91"/>
    <n v="2"/>
    <n v="2"/>
    <x v="0"/>
    <x v="0"/>
    <s v="Married"/>
    <n v="5468"/>
    <n v="13402"/>
    <n v="1"/>
    <s v="Y"/>
    <s v="No"/>
    <n v="14"/>
    <n v="3"/>
    <n v="1"/>
    <n v="80"/>
    <n v="2"/>
    <n v="13"/>
    <n v="3"/>
    <n v="3"/>
    <n v="12"/>
    <n v="7"/>
    <n v="5"/>
    <n v="7"/>
    <x v="1"/>
    <x v="2"/>
    <x v="3"/>
  </r>
  <r>
    <n v="51"/>
    <s v="No"/>
    <s v="Travel_Rarely"/>
    <n v="942"/>
    <x v="1"/>
    <n v="3"/>
    <n v="3"/>
    <s v="Technical Degree"/>
    <n v="1"/>
    <n v="1786"/>
    <n v="1"/>
    <x v="0"/>
    <n v="53"/>
    <n v="3"/>
    <n v="3"/>
    <x v="5"/>
    <x v="2"/>
    <s v="Married"/>
    <n v="13116"/>
    <n v="22984"/>
    <n v="2"/>
    <s v="Y"/>
    <s v="No"/>
    <n v="11"/>
    <n v="3"/>
    <n v="4"/>
    <n v="80"/>
    <n v="0"/>
    <n v="15"/>
    <n v="2"/>
    <n v="3"/>
    <n v="2"/>
    <n v="2"/>
    <n v="2"/>
    <n v="2"/>
    <x v="1"/>
    <x v="1"/>
    <x v="1"/>
  </r>
  <r>
    <n v="37"/>
    <s v="No"/>
    <s v="Travel_Rarely"/>
    <n v="589"/>
    <x v="0"/>
    <n v="9"/>
    <n v="2"/>
    <s v="Marketing"/>
    <n v="1"/>
    <n v="1787"/>
    <n v="2"/>
    <x v="1"/>
    <n v="46"/>
    <n v="2"/>
    <n v="2"/>
    <x v="0"/>
    <x v="1"/>
    <s v="Married"/>
    <n v="4189"/>
    <n v="8800"/>
    <n v="1"/>
    <s v="Y"/>
    <s v="No"/>
    <n v="14"/>
    <n v="3"/>
    <n v="1"/>
    <n v="80"/>
    <n v="2"/>
    <n v="5"/>
    <n v="2"/>
    <n v="3"/>
    <n v="5"/>
    <n v="2"/>
    <n v="0"/>
    <n v="3"/>
    <x v="1"/>
    <x v="0"/>
    <x v="2"/>
  </r>
  <r>
    <n v="46"/>
    <s v="No"/>
    <s v="Travel_Rarely"/>
    <n v="734"/>
    <x v="1"/>
    <n v="2"/>
    <n v="4"/>
    <s v="Medical"/>
    <n v="1"/>
    <n v="1789"/>
    <n v="3"/>
    <x v="1"/>
    <n v="46"/>
    <n v="3"/>
    <n v="5"/>
    <x v="7"/>
    <x v="0"/>
    <s v="Divorced"/>
    <n v="19328"/>
    <n v="14218"/>
    <n v="7"/>
    <s v="Y"/>
    <s v="Yes"/>
    <n v="17"/>
    <n v="3"/>
    <n v="3"/>
    <n v="80"/>
    <n v="1"/>
    <n v="24"/>
    <n v="3"/>
    <n v="3"/>
    <n v="2"/>
    <n v="1"/>
    <n v="2"/>
    <n v="2"/>
    <x v="1"/>
    <x v="1"/>
    <x v="1"/>
  </r>
  <r>
    <n v="36"/>
    <s v="No"/>
    <s v="Travel_Rarely"/>
    <n v="1383"/>
    <x v="1"/>
    <n v="10"/>
    <n v="3"/>
    <s v="Life Sciences"/>
    <n v="1"/>
    <n v="1790"/>
    <n v="4"/>
    <x v="1"/>
    <n v="90"/>
    <n v="3"/>
    <n v="3"/>
    <x v="4"/>
    <x v="3"/>
    <s v="Married"/>
    <n v="8321"/>
    <n v="25949"/>
    <n v="7"/>
    <s v="Y"/>
    <s v="Yes"/>
    <n v="13"/>
    <n v="3"/>
    <n v="4"/>
    <n v="80"/>
    <n v="1"/>
    <n v="15"/>
    <n v="1"/>
    <n v="3"/>
    <n v="12"/>
    <n v="8"/>
    <n v="5"/>
    <n v="7"/>
    <x v="1"/>
    <x v="0"/>
    <x v="3"/>
  </r>
  <r>
    <n v="44"/>
    <s v="Yes"/>
    <s v="Travel_Frequently"/>
    <n v="429"/>
    <x v="1"/>
    <n v="1"/>
    <n v="2"/>
    <s v="Medical"/>
    <n v="1"/>
    <n v="1792"/>
    <n v="3"/>
    <x v="1"/>
    <n v="99"/>
    <n v="3"/>
    <n v="1"/>
    <x v="1"/>
    <x v="1"/>
    <s v="Divorced"/>
    <n v="2342"/>
    <n v="11092"/>
    <n v="1"/>
    <s v="Y"/>
    <s v="Yes"/>
    <n v="12"/>
    <n v="3"/>
    <n v="3"/>
    <n v="80"/>
    <n v="3"/>
    <n v="6"/>
    <n v="2"/>
    <n v="2"/>
    <n v="5"/>
    <n v="3"/>
    <n v="2"/>
    <n v="3"/>
    <x v="0"/>
    <x v="0"/>
    <x v="2"/>
  </r>
  <r>
    <n v="37"/>
    <s v="No"/>
    <s v="Travel_Rarely"/>
    <n v="1239"/>
    <x v="2"/>
    <n v="8"/>
    <n v="2"/>
    <s v="Other"/>
    <n v="1"/>
    <n v="1794"/>
    <n v="3"/>
    <x v="1"/>
    <n v="89"/>
    <n v="3"/>
    <n v="2"/>
    <x v="8"/>
    <x v="1"/>
    <s v="Divorced"/>
    <n v="4071"/>
    <n v="12832"/>
    <n v="2"/>
    <s v="Y"/>
    <s v="No"/>
    <n v="13"/>
    <n v="3"/>
    <n v="3"/>
    <n v="80"/>
    <n v="0"/>
    <n v="19"/>
    <n v="4"/>
    <n v="2"/>
    <n v="10"/>
    <n v="0"/>
    <n v="4"/>
    <n v="7"/>
    <x v="1"/>
    <x v="0"/>
    <x v="0"/>
  </r>
  <r>
    <n v="35"/>
    <s v="Yes"/>
    <s v="Travel_Rarely"/>
    <n v="303"/>
    <x v="0"/>
    <n v="27"/>
    <n v="3"/>
    <s v="Life Sciences"/>
    <n v="1"/>
    <n v="1797"/>
    <n v="3"/>
    <x v="1"/>
    <n v="84"/>
    <n v="3"/>
    <n v="2"/>
    <x v="0"/>
    <x v="0"/>
    <s v="Single"/>
    <n v="5813"/>
    <n v="13492"/>
    <n v="1"/>
    <s v="Y"/>
    <s v="Yes"/>
    <n v="18"/>
    <n v="3"/>
    <n v="4"/>
    <n v="80"/>
    <n v="0"/>
    <n v="10"/>
    <n v="2"/>
    <n v="3"/>
    <n v="10"/>
    <n v="7"/>
    <n v="7"/>
    <n v="7"/>
    <x v="0"/>
    <x v="2"/>
    <x v="0"/>
  </r>
  <r>
    <n v="33"/>
    <s v="No"/>
    <s v="Travel_Rarely"/>
    <n v="867"/>
    <x v="1"/>
    <n v="8"/>
    <n v="4"/>
    <s v="Life Sciences"/>
    <n v="1"/>
    <n v="1798"/>
    <n v="4"/>
    <x v="1"/>
    <n v="90"/>
    <n v="4"/>
    <n v="1"/>
    <x v="1"/>
    <x v="3"/>
    <s v="Married"/>
    <n v="3143"/>
    <n v="6076"/>
    <n v="6"/>
    <s v="Y"/>
    <s v="No"/>
    <n v="19"/>
    <n v="3"/>
    <n v="2"/>
    <n v="80"/>
    <n v="1"/>
    <n v="14"/>
    <n v="1"/>
    <n v="3"/>
    <n v="10"/>
    <n v="8"/>
    <n v="7"/>
    <n v="6"/>
    <x v="1"/>
    <x v="2"/>
    <x v="0"/>
  </r>
  <r>
    <n v="28"/>
    <s v="No"/>
    <s v="Travel_Rarely"/>
    <n v="1181"/>
    <x v="1"/>
    <n v="1"/>
    <n v="3"/>
    <s v="Life Sciences"/>
    <n v="1"/>
    <n v="1799"/>
    <n v="3"/>
    <x v="1"/>
    <n v="82"/>
    <n v="3"/>
    <n v="1"/>
    <x v="1"/>
    <x v="0"/>
    <s v="Married"/>
    <n v="2044"/>
    <n v="5531"/>
    <n v="1"/>
    <s v="Y"/>
    <s v="No"/>
    <n v="11"/>
    <n v="3"/>
    <n v="3"/>
    <n v="80"/>
    <n v="1"/>
    <n v="5"/>
    <n v="6"/>
    <n v="4"/>
    <n v="5"/>
    <n v="3"/>
    <n v="0"/>
    <n v="3"/>
    <x v="1"/>
    <x v="2"/>
    <x v="2"/>
  </r>
  <r>
    <n v="39"/>
    <s v="No"/>
    <s v="Travel_Rarely"/>
    <n v="1253"/>
    <x v="1"/>
    <n v="10"/>
    <n v="1"/>
    <s v="Medical"/>
    <n v="1"/>
    <n v="1800"/>
    <n v="3"/>
    <x v="1"/>
    <n v="65"/>
    <n v="3"/>
    <n v="3"/>
    <x v="7"/>
    <x v="2"/>
    <s v="Single"/>
    <n v="13464"/>
    <n v="7914"/>
    <n v="7"/>
    <s v="Y"/>
    <s v="No"/>
    <n v="21"/>
    <n v="4"/>
    <n v="3"/>
    <n v="80"/>
    <n v="0"/>
    <n v="9"/>
    <n v="3"/>
    <n v="3"/>
    <n v="4"/>
    <n v="3"/>
    <n v="2"/>
    <n v="2"/>
    <x v="1"/>
    <x v="0"/>
    <x v="2"/>
  </r>
  <r>
    <n v="46"/>
    <s v="No"/>
    <s v="Non-Travel"/>
    <n v="849"/>
    <x v="0"/>
    <n v="26"/>
    <n v="2"/>
    <s v="Life Sciences"/>
    <n v="1"/>
    <n v="1801"/>
    <n v="2"/>
    <x v="1"/>
    <n v="98"/>
    <n v="2"/>
    <n v="2"/>
    <x v="0"/>
    <x v="1"/>
    <s v="Single"/>
    <n v="7991"/>
    <n v="25166"/>
    <n v="8"/>
    <s v="Y"/>
    <s v="No"/>
    <n v="15"/>
    <n v="3"/>
    <n v="3"/>
    <n v="80"/>
    <n v="0"/>
    <n v="6"/>
    <n v="3"/>
    <n v="3"/>
    <n v="2"/>
    <n v="2"/>
    <n v="2"/>
    <n v="2"/>
    <x v="1"/>
    <x v="1"/>
    <x v="1"/>
  </r>
  <r>
    <n v="40"/>
    <s v="No"/>
    <s v="Travel_Rarely"/>
    <n v="616"/>
    <x v="1"/>
    <n v="2"/>
    <n v="2"/>
    <s v="Life Sciences"/>
    <n v="1"/>
    <n v="1802"/>
    <n v="3"/>
    <x v="0"/>
    <n v="99"/>
    <n v="3"/>
    <n v="1"/>
    <x v="2"/>
    <x v="3"/>
    <s v="Married"/>
    <n v="3377"/>
    <n v="25605"/>
    <n v="4"/>
    <s v="Y"/>
    <s v="No"/>
    <n v="17"/>
    <n v="3"/>
    <n v="4"/>
    <n v="80"/>
    <n v="1"/>
    <n v="7"/>
    <n v="5"/>
    <n v="2"/>
    <n v="4"/>
    <n v="3"/>
    <n v="0"/>
    <n v="2"/>
    <x v="1"/>
    <x v="0"/>
    <x v="2"/>
  </r>
  <r>
    <n v="42"/>
    <s v="No"/>
    <s v="Travel_Rarely"/>
    <n v="1128"/>
    <x v="1"/>
    <n v="13"/>
    <n v="3"/>
    <s v="Medical"/>
    <n v="1"/>
    <n v="1803"/>
    <n v="2"/>
    <x v="1"/>
    <n v="95"/>
    <n v="4"/>
    <n v="2"/>
    <x v="4"/>
    <x v="3"/>
    <s v="Married"/>
    <n v="5538"/>
    <n v="5696"/>
    <n v="5"/>
    <s v="Y"/>
    <s v="No"/>
    <n v="18"/>
    <n v="3"/>
    <n v="3"/>
    <n v="80"/>
    <n v="2"/>
    <n v="10"/>
    <n v="2"/>
    <n v="2"/>
    <n v="0"/>
    <n v="0"/>
    <n v="0"/>
    <n v="0"/>
    <x v="1"/>
    <x v="0"/>
    <x v="1"/>
  </r>
  <r>
    <n v="35"/>
    <s v="No"/>
    <s v="Non-Travel"/>
    <n v="1180"/>
    <x v="1"/>
    <n v="2"/>
    <n v="2"/>
    <s v="Medical"/>
    <n v="1"/>
    <n v="1804"/>
    <n v="2"/>
    <x v="1"/>
    <n v="90"/>
    <n v="3"/>
    <n v="2"/>
    <x v="3"/>
    <x v="0"/>
    <s v="Divorced"/>
    <n v="5762"/>
    <n v="24442"/>
    <n v="2"/>
    <s v="Y"/>
    <s v="No"/>
    <n v="14"/>
    <n v="3"/>
    <n v="3"/>
    <n v="80"/>
    <n v="1"/>
    <n v="15"/>
    <n v="6"/>
    <n v="3"/>
    <n v="7"/>
    <n v="7"/>
    <n v="1"/>
    <n v="7"/>
    <x v="1"/>
    <x v="2"/>
    <x v="0"/>
  </r>
  <r>
    <n v="38"/>
    <s v="No"/>
    <s v="Non-Travel"/>
    <n v="1336"/>
    <x v="2"/>
    <n v="2"/>
    <n v="3"/>
    <s v="Human Resources"/>
    <n v="1"/>
    <n v="1805"/>
    <n v="1"/>
    <x v="1"/>
    <n v="100"/>
    <n v="3"/>
    <n v="1"/>
    <x v="8"/>
    <x v="1"/>
    <s v="Divorced"/>
    <n v="2592"/>
    <n v="7129"/>
    <n v="5"/>
    <s v="Y"/>
    <s v="No"/>
    <n v="13"/>
    <n v="3"/>
    <n v="4"/>
    <n v="80"/>
    <n v="3"/>
    <n v="13"/>
    <n v="3"/>
    <n v="3"/>
    <n v="11"/>
    <n v="10"/>
    <n v="3"/>
    <n v="8"/>
    <x v="1"/>
    <x v="0"/>
    <x v="3"/>
  </r>
  <r>
    <n v="34"/>
    <s v="Yes"/>
    <s v="Travel_Frequently"/>
    <n v="234"/>
    <x v="1"/>
    <n v="9"/>
    <n v="4"/>
    <s v="Life Sciences"/>
    <n v="1"/>
    <n v="1807"/>
    <n v="4"/>
    <x v="1"/>
    <n v="93"/>
    <n v="3"/>
    <n v="2"/>
    <x v="2"/>
    <x v="3"/>
    <s v="Married"/>
    <n v="5346"/>
    <n v="6208"/>
    <n v="4"/>
    <s v="Y"/>
    <s v="No"/>
    <n v="17"/>
    <n v="3"/>
    <n v="3"/>
    <n v="80"/>
    <n v="1"/>
    <n v="11"/>
    <n v="3"/>
    <n v="2"/>
    <n v="7"/>
    <n v="1"/>
    <n v="0"/>
    <n v="7"/>
    <x v="0"/>
    <x v="2"/>
    <x v="0"/>
  </r>
  <r>
    <n v="37"/>
    <s v="Yes"/>
    <s v="Travel_Rarely"/>
    <n v="370"/>
    <x v="1"/>
    <n v="10"/>
    <n v="4"/>
    <s v="Medical"/>
    <n v="1"/>
    <n v="1809"/>
    <n v="4"/>
    <x v="1"/>
    <n v="58"/>
    <n v="3"/>
    <n v="2"/>
    <x v="3"/>
    <x v="3"/>
    <s v="Single"/>
    <n v="4213"/>
    <n v="4992"/>
    <n v="1"/>
    <s v="Y"/>
    <s v="No"/>
    <n v="15"/>
    <n v="3"/>
    <n v="2"/>
    <n v="80"/>
    <n v="0"/>
    <n v="10"/>
    <n v="4"/>
    <n v="1"/>
    <n v="10"/>
    <n v="3"/>
    <n v="0"/>
    <n v="8"/>
    <x v="0"/>
    <x v="0"/>
    <x v="0"/>
  </r>
  <r>
    <n v="39"/>
    <s v="No"/>
    <s v="Travel_Frequently"/>
    <n v="766"/>
    <x v="0"/>
    <n v="20"/>
    <n v="3"/>
    <s v="Life Sciences"/>
    <n v="1"/>
    <n v="1812"/>
    <n v="3"/>
    <x v="1"/>
    <n v="83"/>
    <n v="3"/>
    <n v="2"/>
    <x v="0"/>
    <x v="0"/>
    <s v="Divorced"/>
    <n v="4127"/>
    <n v="19188"/>
    <n v="2"/>
    <s v="Y"/>
    <s v="No"/>
    <n v="18"/>
    <n v="3"/>
    <n v="4"/>
    <n v="80"/>
    <n v="1"/>
    <n v="7"/>
    <n v="6"/>
    <n v="3"/>
    <n v="2"/>
    <n v="1"/>
    <n v="2"/>
    <n v="2"/>
    <x v="1"/>
    <x v="0"/>
    <x v="1"/>
  </r>
  <r>
    <n v="43"/>
    <s v="No"/>
    <s v="Non-Travel"/>
    <n v="343"/>
    <x v="1"/>
    <n v="9"/>
    <n v="3"/>
    <s v="Life Sciences"/>
    <n v="1"/>
    <n v="1813"/>
    <n v="1"/>
    <x v="1"/>
    <n v="52"/>
    <n v="3"/>
    <n v="1"/>
    <x v="1"/>
    <x v="2"/>
    <s v="Single"/>
    <n v="2438"/>
    <n v="24978"/>
    <n v="4"/>
    <s v="Y"/>
    <s v="No"/>
    <n v="13"/>
    <n v="3"/>
    <n v="3"/>
    <n v="80"/>
    <n v="0"/>
    <n v="7"/>
    <n v="2"/>
    <n v="2"/>
    <n v="3"/>
    <n v="2"/>
    <n v="1"/>
    <n v="2"/>
    <x v="1"/>
    <x v="0"/>
    <x v="2"/>
  </r>
  <r>
    <n v="41"/>
    <s v="No"/>
    <s v="Travel_Rarely"/>
    <n v="447"/>
    <x v="1"/>
    <n v="5"/>
    <n v="3"/>
    <s v="Life Sciences"/>
    <n v="1"/>
    <n v="1814"/>
    <n v="2"/>
    <x v="1"/>
    <n v="85"/>
    <n v="4"/>
    <n v="2"/>
    <x v="4"/>
    <x v="1"/>
    <s v="Single"/>
    <n v="6870"/>
    <n v="15530"/>
    <n v="3"/>
    <s v="Y"/>
    <s v="No"/>
    <n v="12"/>
    <n v="3"/>
    <n v="1"/>
    <n v="80"/>
    <n v="0"/>
    <n v="11"/>
    <n v="3"/>
    <n v="1"/>
    <n v="3"/>
    <n v="2"/>
    <n v="1"/>
    <n v="2"/>
    <x v="1"/>
    <x v="0"/>
    <x v="2"/>
  </r>
  <r>
    <n v="41"/>
    <s v="No"/>
    <s v="Travel_Rarely"/>
    <n v="796"/>
    <x v="0"/>
    <n v="4"/>
    <n v="1"/>
    <s v="Marketing"/>
    <n v="1"/>
    <n v="1815"/>
    <n v="3"/>
    <x v="0"/>
    <n v="81"/>
    <n v="3"/>
    <n v="3"/>
    <x v="0"/>
    <x v="2"/>
    <s v="Divorced"/>
    <n v="10447"/>
    <n v="26458"/>
    <n v="0"/>
    <s v="Y"/>
    <s v="Yes"/>
    <n v="13"/>
    <n v="3"/>
    <n v="4"/>
    <n v="80"/>
    <n v="1"/>
    <n v="23"/>
    <n v="3"/>
    <n v="4"/>
    <n v="22"/>
    <n v="14"/>
    <n v="13"/>
    <n v="5"/>
    <x v="1"/>
    <x v="0"/>
    <x v="3"/>
  </r>
  <r>
    <n v="30"/>
    <s v="No"/>
    <s v="Travel_Rarely"/>
    <n v="1092"/>
    <x v="1"/>
    <n v="10"/>
    <n v="3"/>
    <s v="Medical"/>
    <n v="1"/>
    <n v="1816"/>
    <n v="1"/>
    <x v="0"/>
    <n v="64"/>
    <n v="3"/>
    <n v="3"/>
    <x v="3"/>
    <x v="2"/>
    <s v="Single"/>
    <n v="9667"/>
    <n v="2739"/>
    <n v="9"/>
    <s v="Y"/>
    <s v="No"/>
    <n v="14"/>
    <n v="3"/>
    <n v="2"/>
    <n v="80"/>
    <n v="0"/>
    <n v="9"/>
    <n v="3"/>
    <n v="3"/>
    <n v="7"/>
    <n v="7"/>
    <n v="0"/>
    <n v="2"/>
    <x v="1"/>
    <x v="2"/>
    <x v="0"/>
  </r>
  <r>
    <n v="26"/>
    <s v="Yes"/>
    <s v="Travel_Rarely"/>
    <n v="920"/>
    <x v="2"/>
    <n v="20"/>
    <n v="2"/>
    <s v="Medical"/>
    <n v="1"/>
    <n v="1818"/>
    <n v="4"/>
    <x v="0"/>
    <n v="69"/>
    <n v="3"/>
    <n v="1"/>
    <x v="8"/>
    <x v="1"/>
    <s v="Married"/>
    <n v="2148"/>
    <n v="6889"/>
    <n v="0"/>
    <s v="Y"/>
    <s v="Yes"/>
    <n v="11"/>
    <n v="3"/>
    <n v="3"/>
    <n v="80"/>
    <n v="0"/>
    <n v="6"/>
    <n v="3"/>
    <n v="3"/>
    <n v="5"/>
    <n v="1"/>
    <n v="1"/>
    <n v="4"/>
    <x v="0"/>
    <x v="2"/>
    <x v="2"/>
  </r>
  <r>
    <n v="46"/>
    <s v="Yes"/>
    <s v="Travel_Rarely"/>
    <n v="261"/>
    <x v="1"/>
    <n v="21"/>
    <n v="2"/>
    <s v="Medical"/>
    <n v="1"/>
    <n v="1821"/>
    <n v="4"/>
    <x v="0"/>
    <n v="66"/>
    <n v="3"/>
    <n v="2"/>
    <x v="4"/>
    <x v="1"/>
    <s v="Married"/>
    <n v="8926"/>
    <n v="10842"/>
    <n v="4"/>
    <s v="Y"/>
    <s v="No"/>
    <n v="22"/>
    <n v="4"/>
    <n v="4"/>
    <n v="80"/>
    <n v="1"/>
    <n v="13"/>
    <n v="2"/>
    <n v="4"/>
    <n v="9"/>
    <n v="7"/>
    <n v="3"/>
    <n v="7"/>
    <x v="0"/>
    <x v="1"/>
    <x v="0"/>
  </r>
  <r>
    <n v="40"/>
    <s v="No"/>
    <s v="Travel_Rarely"/>
    <n v="1194"/>
    <x v="1"/>
    <n v="1"/>
    <n v="3"/>
    <s v="Life Sciences"/>
    <n v="1"/>
    <n v="1822"/>
    <n v="3"/>
    <x v="0"/>
    <n v="52"/>
    <n v="3"/>
    <n v="2"/>
    <x v="4"/>
    <x v="0"/>
    <s v="Divorced"/>
    <n v="6513"/>
    <n v="9060"/>
    <n v="4"/>
    <s v="Y"/>
    <s v="No"/>
    <n v="17"/>
    <n v="3"/>
    <n v="4"/>
    <n v="80"/>
    <n v="1"/>
    <n v="12"/>
    <n v="3"/>
    <n v="3"/>
    <n v="5"/>
    <n v="3"/>
    <n v="0"/>
    <n v="3"/>
    <x v="1"/>
    <x v="0"/>
    <x v="2"/>
  </r>
  <r>
    <n v="34"/>
    <s v="No"/>
    <s v="Travel_Rarely"/>
    <n v="810"/>
    <x v="0"/>
    <n v="8"/>
    <n v="2"/>
    <s v="Technical Degree"/>
    <n v="1"/>
    <n v="1823"/>
    <n v="2"/>
    <x v="1"/>
    <n v="92"/>
    <n v="4"/>
    <n v="2"/>
    <x v="0"/>
    <x v="2"/>
    <s v="Married"/>
    <n v="6799"/>
    <n v="22128"/>
    <n v="1"/>
    <s v="Y"/>
    <s v="No"/>
    <n v="21"/>
    <n v="4"/>
    <n v="3"/>
    <n v="80"/>
    <n v="2"/>
    <n v="10"/>
    <n v="5"/>
    <n v="3"/>
    <n v="10"/>
    <n v="8"/>
    <n v="4"/>
    <n v="8"/>
    <x v="1"/>
    <x v="2"/>
    <x v="0"/>
  </r>
  <r>
    <n v="58"/>
    <s v="No"/>
    <s v="Non-Travel"/>
    <n v="350"/>
    <x v="0"/>
    <n v="2"/>
    <n v="3"/>
    <s v="Medical"/>
    <n v="1"/>
    <n v="1824"/>
    <n v="2"/>
    <x v="1"/>
    <n v="52"/>
    <n v="3"/>
    <n v="4"/>
    <x v="5"/>
    <x v="1"/>
    <s v="Divorced"/>
    <n v="16291"/>
    <n v="22577"/>
    <n v="4"/>
    <s v="Y"/>
    <s v="No"/>
    <n v="22"/>
    <n v="4"/>
    <n v="4"/>
    <n v="80"/>
    <n v="1"/>
    <n v="37"/>
    <n v="0"/>
    <n v="2"/>
    <n v="16"/>
    <n v="9"/>
    <n v="14"/>
    <n v="14"/>
    <x v="1"/>
    <x v="1"/>
    <x v="3"/>
  </r>
  <r>
    <n v="35"/>
    <s v="No"/>
    <s v="Travel_Rarely"/>
    <n v="185"/>
    <x v="1"/>
    <n v="23"/>
    <n v="4"/>
    <s v="Medical"/>
    <n v="1"/>
    <n v="1826"/>
    <n v="2"/>
    <x v="1"/>
    <n v="91"/>
    <n v="1"/>
    <n v="1"/>
    <x v="2"/>
    <x v="2"/>
    <s v="Married"/>
    <n v="2705"/>
    <n v="9696"/>
    <n v="0"/>
    <s v="Y"/>
    <s v="No"/>
    <n v="16"/>
    <n v="3"/>
    <n v="2"/>
    <n v="80"/>
    <n v="1"/>
    <n v="6"/>
    <n v="2"/>
    <n v="4"/>
    <n v="5"/>
    <n v="4"/>
    <n v="0"/>
    <n v="3"/>
    <x v="1"/>
    <x v="2"/>
    <x v="2"/>
  </r>
  <r>
    <n v="47"/>
    <s v="No"/>
    <s v="Travel_Rarely"/>
    <n v="1001"/>
    <x v="1"/>
    <n v="4"/>
    <n v="3"/>
    <s v="Life Sciences"/>
    <n v="1"/>
    <n v="1827"/>
    <n v="3"/>
    <x v="0"/>
    <n v="92"/>
    <n v="2"/>
    <n v="3"/>
    <x v="3"/>
    <x v="1"/>
    <s v="Divorced"/>
    <n v="10333"/>
    <n v="19271"/>
    <n v="8"/>
    <s v="Y"/>
    <s v="Yes"/>
    <n v="12"/>
    <n v="3"/>
    <n v="3"/>
    <n v="80"/>
    <n v="1"/>
    <n v="28"/>
    <n v="4"/>
    <n v="3"/>
    <n v="22"/>
    <n v="11"/>
    <n v="14"/>
    <n v="10"/>
    <x v="1"/>
    <x v="1"/>
    <x v="3"/>
  </r>
  <r>
    <n v="40"/>
    <s v="No"/>
    <s v="Travel_Rarely"/>
    <n v="750"/>
    <x v="1"/>
    <n v="12"/>
    <n v="3"/>
    <s v="Life Sciences"/>
    <n v="1"/>
    <n v="1829"/>
    <n v="2"/>
    <x v="0"/>
    <n v="47"/>
    <n v="3"/>
    <n v="2"/>
    <x v="4"/>
    <x v="3"/>
    <s v="Divorced"/>
    <n v="4448"/>
    <n v="10748"/>
    <n v="2"/>
    <s v="Y"/>
    <s v="No"/>
    <n v="12"/>
    <n v="3"/>
    <n v="2"/>
    <n v="80"/>
    <n v="1"/>
    <n v="15"/>
    <n v="3"/>
    <n v="3"/>
    <n v="7"/>
    <n v="4"/>
    <n v="7"/>
    <n v="7"/>
    <x v="1"/>
    <x v="0"/>
    <x v="0"/>
  </r>
  <r>
    <n v="54"/>
    <s v="No"/>
    <s v="Travel_Rarely"/>
    <n v="431"/>
    <x v="1"/>
    <n v="7"/>
    <n v="4"/>
    <s v="Medical"/>
    <n v="1"/>
    <n v="1830"/>
    <n v="4"/>
    <x v="0"/>
    <n v="68"/>
    <n v="3"/>
    <n v="2"/>
    <x v="1"/>
    <x v="0"/>
    <s v="Married"/>
    <n v="6854"/>
    <n v="15696"/>
    <n v="4"/>
    <s v="Y"/>
    <s v="No"/>
    <n v="15"/>
    <n v="3"/>
    <n v="2"/>
    <n v="80"/>
    <n v="1"/>
    <n v="14"/>
    <n v="2"/>
    <n v="2"/>
    <n v="7"/>
    <n v="1"/>
    <n v="1"/>
    <n v="7"/>
    <x v="1"/>
    <x v="1"/>
    <x v="0"/>
  </r>
  <r>
    <n v="31"/>
    <s v="No"/>
    <s v="Travel_Frequently"/>
    <n v="1125"/>
    <x v="0"/>
    <n v="7"/>
    <n v="4"/>
    <s v="Marketing"/>
    <n v="1"/>
    <n v="1833"/>
    <n v="1"/>
    <x v="0"/>
    <n v="68"/>
    <n v="3"/>
    <n v="3"/>
    <x v="0"/>
    <x v="3"/>
    <s v="Married"/>
    <n v="9637"/>
    <n v="8277"/>
    <n v="2"/>
    <s v="Y"/>
    <s v="No"/>
    <n v="14"/>
    <n v="3"/>
    <n v="4"/>
    <n v="80"/>
    <n v="2"/>
    <n v="9"/>
    <n v="3"/>
    <n v="3"/>
    <n v="3"/>
    <n v="2"/>
    <n v="2"/>
    <n v="2"/>
    <x v="1"/>
    <x v="2"/>
    <x v="2"/>
  </r>
  <r>
    <n v="28"/>
    <s v="No"/>
    <s v="Travel_Rarely"/>
    <n v="1217"/>
    <x v="1"/>
    <n v="1"/>
    <n v="3"/>
    <s v="Medical"/>
    <n v="1"/>
    <n v="1834"/>
    <n v="3"/>
    <x v="0"/>
    <n v="67"/>
    <n v="3"/>
    <n v="1"/>
    <x v="1"/>
    <x v="3"/>
    <s v="Married"/>
    <n v="3591"/>
    <n v="12719"/>
    <n v="1"/>
    <s v="Y"/>
    <s v="No"/>
    <n v="25"/>
    <n v="4"/>
    <n v="3"/>
    <n v="80"/>
    <n v="1"/>
    <n v="3"/>
    <n v="3"/>
    <n v="3"/>
    <n v="3"/>
    <n v="2"/>
    <n v="1"/>
    <n v="2"/>
    <x v="1"/>
    <x v="2"/>
    <x v="2"/>
  </r>
  <r>
    <n v="38"/>
    <s v="No"/>
    <s v="Travel_Rarely"/>
    <n v="723"/>
    <x v="0"/>
    <n v="2"/>
    <n v="4"/>
    <s v="Marketing"/>
    <n v="1"/>
    <n v="1835"/>
    <n v="2"/>
    <x v="0"/>
    <n v="77"/>
    <n v="1"/>
    <n v="2"/>
    <x v="6"/>
    <x v="0"/>
    <s v="Married"/>
    <n v="5405"/>
    <n v="4244"/>
    <n v="2"/>
    <s v="Y"/>
    <s v="Yes"/>
    <n v="20"/>
    <n v="4"/>
    <n v="1"/>
    <n v="80"/>
    <n v="2"/>
    <n v="20"/>
    <n v="4"/>
    <n v="2"/>
    <n v="4"/>
    <n v="2"/>
    <n v="0"/>
    <n v="3"/>
    <x v="1"/>
    <x v="0"/>
    <x v="2"/>
  </r>
  <r>
    <n v="26"/>
    <s v="No"/>
    <s v="Travel_Rarely"/>
    <n v="572"/>
    <x v="0"/>
    <n v="10"/>
    <n v="3"/>
    <s v="Medical"/>
    <n v="1"/>
    <n v="1836"/>
    <n v="3"/>
    <x v="1"/>
    <n v="46"/>
    <n v="3"/>
    <n v="2"/>
    <x v="0"/>
    <x v="0"/>
    <s v="Single"/>
    <n v="4684"/>
    <n v="9125"/>
    <n v="1"/>
    <s v="Y"/>
    <s v="No"/>
    <n v="13"/>
    <n v="3"/>
    <n v="1"/>
    <n v="80"/>
    <n v="0"/>
    <n v="5"/>
    <n v="4"/>
    <n v="3"/>
    <n v="5"/>
    <n v="3"/>
    <n v="1"/>
    <n v="2"/>
    <x v="1"/>
    <x v="2"/>
    <x v="2"/>
  </r>
  <r>
    <n v="58"/>
    <s v="No"/>
    <s v="Travel_Frequently"/>
    <n v="1216"/>
    <x v="1"/>
    <n v="15"/>
    <n v="4"/>
    <s v="Life Sciences"/>
    <n v="1"/>
    <n v="1837"/>
    <n v="1"/>
    <x v="1"/>
    <n v="87"/>
    <n v="3"/>
    <n v="4"/>
    <x v="7"/>
    <x v="2"/>
    <s v="Married"/>
    <n v="15787"/>
    <n v="21624"/>
    <n v="2"/>
    <s v="Y"/>
    <s v="Yes"/>
    <n v="14"/>
    <n v="3"/>
    <n v="2"/>
    <n v="80"/>
    <n v="0"/>
    <n v="23"/>
    <n v="3"/>
    <n v="3"/>
    <n v="2"/>
    <n v="2"/>
    <n v="2"/>
    <n v="2"/>
    <x v="1"/>
    <x v="1"/>
    <x v="1"/>
  </r>
  <r>
    <n v="18"/>
    <s v="No"/>
    <s v="Non-Travel"/>
    <n v="1431"/>
    <x v="1"/>
    <n v="14"/>
    <n v="3"/>
    <s v="Medical"/>
    <n v="1"/>
    <n v="1839"/>
    <n v="2"/>
    <x v="0"/>
    <n v="33"/>
    <n v="3"/>
    <n v="1"/>
    <x v="1"/>
    <x v="2"/>
    <s v="Single"/>
    <n v="1514"/>
    <n v="8018"/>
    <n v="1"/>
    <s v="Y"/>
    <s v="No"/>
    <n v="16"/>
    <n v="3"/>
    <n v="3"/>
    <n v="80"/>
    <n v="0"/>
    <n v="0"/>
    <n v="4"/>
    <n v="1"/>
    <n v="0"/>
    <n v="0"/>
    <n v="0"/>
    <n v="0"/>
    <x v="1"/>
    <x v="3"/>
    <x v="1"/>
  </r>
  <r>
    <n v="31"/>
    <s v="Yes"/>
    <s v="Travel_Rarely"/>
    <n v="359"/>
    <x v="2"/>
    <n v="18"/>
    <n v="5"/>
    <s v="Human Resources"/>
    <n v="1"/>
    <n v="1842"/>
    <n v="4"/>
    <x v="1"/>
    <n v="89"/>
    <n v="4"/>
    <n v="1"/>
    <x v="8"/>
    <x v="3"/>
    <s v="Married"/>
    <n v="2956"/>
    <n v="21495"/>
    <n v="0"/>
    <s v="Y"/>
    <s v="No"/>
    <n v="17"/>
    <n v="3"/>
    <n v="3"/>
    <n v="80"/>
    <n v="0"/>
    <n v="2"/>
    <n v="4"/>
    <n v="3"/>
    <n v="1"/>
    <n v="0"/>
    <n v="0"/>
    <n v="0"/>
    <x v="0"/>
    <x v="2"/>
    <x v="1"/>
  </r>
  <r>
    <n v="29"/>
    <s v="Yes"/>
    <s v="Travel_Rarely"/>
    <n v="350"/>
    <x v="2"/>
    <n v="13"/>
    <n v="3"/>
    <s v="Human Resources"/>
    <n v="1"/>
    <n v="1844"/>
    <n v="1"/>
    <x v="1"/>
    <n v="56"/>
    <n v="2"/>
    <n v="1"/>
    <x v="8"/>
    <x v="3"/>
    <s v="Divorced"/>
    <n v="2335"/>
    <n v="3157"/>
    <n v="4"/>
    <s v="Y"/>
    <s v="Yes"/>
    <n v="15"/>
    <n v="3"/>
    <n v="4"/>
    <n v="80"/>
    <n v="3"/>
    <n v="4"/>
    <n v="3"/>
    <n v="3"/>
    <n v="2"/>
    <n v="2"/>
    <n v="2"/>
    <n v="0"/>
    <x v="0"/>
    <x v="2"/>
    <x v="1"/>
  </r>
  <r>
    <n v="45"/>
    <s v="No"/>
    <s v="Non-Travel"/>
    <n v="589"/>
    <x v="0"/>
    <n v="2"/>
    <n v="4"/>
    <s v="Life Sciences"/>
    <n v="1"/>
    <n v="1845"/>
    <n v="3"/>
    <x v="0"/>
    <n v="67"/>
    <n v="3"/>
    <n v="2"/>
    <x v="0"/>
    <x v="2"/>
    <s v="Married"/>
    <n v="5154"/>
    <n v="19665"/>
    <n v="4"/>
    <s v="Y"/>
    <s v="No"/>
    <n v="22"/>
    <n v="4"/>
    <n v="2"/>
    <n v="80"/>
    <n v="2"/>
    <n v="10"/>
    <n v="3"/>
    <n v="4"/>
    <n v="8"/>
    <n v="7"/>
    <n v="5"/>
    <n v="7"/>
    <x v="1"/>
    <x v="0"/>
    <x v="0"/>
  </r>
  <r>
    <n v="36"/>
    <s v="No"/>
    <s v="Travel_Rarely"/>
    <n v="430"/>
    <x v="1"/>
    <n v="2"/>
    <n v="4"/>
    <s v="Other"/>
    <n v="1"/>
    <n v="1847"/>
    <n v="4"/>
    <x v="0"/>
    <n v="73"/>
    <n v="3"/>
    <n v="2"/>
    <x v="1"/>
    <x v="1"/>
    <s v="Married"/>
    <n v="6962"/>
    <n v="19573"/>
    <n v="4"/>
    <s v="Y"/>
    <s v="Yes"/>
    <n v="22"/>
    <n v="4"/>
    <n v="4"/>
    <n v="80"/>
    <n v="1"/>
    <n v="15"/>
    <n v="2"/>
    <n v="3"/>
    <n v="1"/>
    <n v="0"/>
    <n v="0"/>
    <n v="0"/>
    <x v="1"/>
    <x v="0"/>
    <x v="1"/>
  </r>
  <r>
    <n v="43"/>
    <s v="No"/>
    <s v="Travel_Frequently"/>
    <n v="1422"/>
    <x v="0"/>
    <n v="2"/>
    <n v="4"/>
    <s v="Life Sciences"/>
    <n v="1"/>
    <n v="1849"/>
    <n v="1"/>
    <x v="1"/>
    <n v="92"/>
    <n v="3"/>
    <n v="2"/>
    <x v="0"/>
    <x v="0"/>
    <s v="Married"/>
    <n v="5675"/>
    <n v="19246"/>
    <n v="1"/>
    <s v="Y"/>
    <s v="No"/>
    <n v="20"/>
    <n v="4"/>
    <n v="3"/>
    <n v="80"/>
    <n v="1"/>
    <n v="7"/>
    <n v="5"/>
    <n v="3"/>
    <n v="7"/>
    <n v="7"/>
    <n v="7"/>
    <n v="7"/>
    <x v="1"/>
    <x v="0"/>
    <x v="0"/>
  </r>
  <r>
    <n v="27"/>
    <s v="No"/>
    <s v="Travel_Frequently"/>
    <n v="1297"/>
    <x v="1"/>
    <n v="5"/>
    <n v="2"/>
    <s v="Life Sciences"/>
    <n v="1"/>
    <n v="1850"/>
    <n v="4"/>
    <x v="0"/>
    <n v="53"/>
    <n v="3"/>
    <n v="1"/>
    <x v="2"/>
    <x v="0"/>
    <s v="Single"/>
    <n v="2379"/>
    <n v="19826"/>
    <n v="0"/>
    <s v="Y"/>
    <s v="Yes"/>
    <n v="14"/>
    <n v="3"/>
    <n v="3"/>
    <n v="80"/>
    <n v="0"/>
    <n v="6"/>
    <n v="3"/>
    <n v="2"/>
    <n v="5"/>
    <n v="4"/>
    <n v="0"/>
    <n v="2"/>
    <x v="1"/>
    <x v="2"/>
    <x v="2"/>
  </r>
  <r>
    <n v="29"/>
    <s v="No"/>
    <s v="Travel_Frequently"/>
    <n v="574"/>
    <x v="1"/>
    <n v="20"/>
    <n v="1"/>
    <s v="Medical"/>
    <n v="1"/>
    <n v="1852"/>
    <n v="4"/>
    <x v="1"/>
    <n v="40"/>
    <n v="3"/>
    <n v="1"/>
    <x v="2"/>
    <x v="0"/>
    <s v="Married"/>
    <n v="3812"/>
    <n v="7003"/>
    <n v="1"/>
    <s v="Y"/>
    <s v="No"/>
    <n v="13"/>
    <n v="3"/>
    <n v="2"/>
    <n v="80"/>
    <n v="0"/>
    <n v="11"/>
    <n v="3"/>
    <n v="4"/>
    <n v="11"/>
    <n v="8"/>
    <n v="3"/>
    <n v="10"/>
    <x v="1"/>
    <x v="2"/>
    <x v="3"/>
  </r>
  <r>
    <n v="32"/>
    <s v="No"/>
    <s v="Travel_Frequently"/>
    <n v="1318"/>
    <x v="0"/>
    <n v="10"/>
    <n v="4"/>
    <s v="Marketing"/>
    <n v="1"/>
    <n v="1853"/>
    <n v="4"/>
    <x v="1"/>
    <n v="79"/>
    <n v="3"/>
    <n v="2"/>
    <x v="0"/>
    <x v="0"/>
    <s v="Single"/>
    <n v="4648"/>
    <n v="26075"/>
    <n v="8"/>
    <s v="Y"/>
    <s v="No"/>
    <n v="13"/>
    <n v="3"/>
    <n v="3"/>
    <n v="80"/>
    <n v="0"/>
    <n v="4"/>
    <n v="2"/>
    <n v="4"/>
    <n v="0"/>
    <n v="0"/>
    <n v="0"/>
    <n v="0"/>
    <x v="1"/>
    <x v="2"/>
    <x v="1"/>
  </r>
  <r>
    <n v="42"/>
    <s v="No"/>
    <s v="Non-Travel"/>
    <n v="355"/>
    <x v="1"/>
    <n v="10"/>
    <n v="4"/>
    <s v="Technical Degree"/>
    <n v="1"/>
    <n v="1854"/>
    <n v="3"/>
    <x v="1"/>
    <n v="38"/>
    <n v="3"/>
    <n v="1"/>
    <x v="1"/>
    <x v="2"/>
    <s v="Married"/>
    <n v="2936"/>
    <n v="6161"/>
    <n v="3"/>
    <s v="Y"/>
    <s v="No"/>
    <n v="22"/>
    <n v="4"/>
    <n v="2"/>
    <n v="80"/>
    <n v="2"/>
    <n v="10"/>
    <n v="1"/>
    <n v="2"/>
    <n v="6"/>
    <n v="3"/>
    <n v="3"/>
    <n v="3"/>
    <x v="1"/>
    <x v="0"/>
    <x v="0"/>
  </r>
  <r>
    <n v="47"/>
    <s v="No"/>
    <s v="Travel_Rarely"/>
    <n v="207"/>
    <x v="1"/>
    <n v="9"/>
    <n v="4"/>
    <s v="Life Sciences"/>
    <n v="1"/>
    <n v="1856"/>
    <n v="2"/>
    <x v="0"/>
    <n v="64"/>
    <n v="3"/>
    <n v="1"/>
    <x v="2"/>
    <x v="2"/>
    <s v="Single"/>
    <n v="2105"/>
    <n v="5411"/>
    <n v="4"/>
    <s v="Y"/>
    <s v="No"/>
    <n v="12"/>
    <n v="3"/>
    <n v="3"/>
    <n v="80"/>
    <n v="0"/>
    <n v="7"/>
    <n v="2"/>
    <n v="3"/>
    <n v="2"/>
    <n v="2"/>
    <n v="2"/>
    <n v="0"/>
    <x v="1"/>
    <x v="1"/>
    <x v="1"/>
  </r>
  <r>
    <n v="46"/>
    <s v="No"/>
    <s v="Travel_Rarely"/>
    <n v="706"/>
    <x v="1"/>
    <n v="2"/>
    <n v="2"/>
    <s v="Life Sciences"/>
    <n v="1"/>
    <n v="1857"/>
    <n v="4"/>
    <x v="1"/>
    <n v="82"/>
    <n v="3"/>
    <n v="3"/>
    <x v="3"/>
    <x v="0"/>
    <s v="Divorced"/>
    <n v="8578"/>
    <n v="19989"/>
    <n v="3"/>
    <s v="Y"/>
    <s v="No"/>
    <n v="14"/>
    <n v="3"/>
    <n v="3"/>
    <n v="80"/>
    <n v="1"/>
    <n v="12"/>
    <n v="4"/>
    <n v="2"/>
    <n v="9"/>
    <n v="8"/>
    <n v="4"/>
    <n v="7"/>
    <x v="1"/>
    <x v="1"/>
    <x v="0"/>
  </r>
  <r>
    <n v="28"/>
    <s v="No"/>
    <s v="Non-Travel"/>
    <n v="280"/>
    <x v="2"/>
    <n v="1"/>
    <n v="2"/>
    <s v="Life Sciences"/>
    <n v="1"/>
    <n v="1858"/>
    <n v="3"/>
    <x v="1"/>
    <n v="43"/>
    <n v="3"/>
    <n v="1"/>
    <x v="8"/>
    <x v="0"/>
    <s v="Divorced"/>
    <n v="2706"/>
    <n v="10494"/>
    <n v="1"/>
    <s v="Y"/>
    <s v="No"/>
    <n v="15"/>
    <n v="3"/>
    <n v="2"/>
    <n v="80"/>
    <n v="1"/>
    <n v="3"/>
    <n v="2"/>
    <n v="3"/>
    <n v="3"/>
    <n v="2"/>
    <n v="2"/>
    <n v="2"/>
    <x v="1"/>
    <x v="2"/>
    <x v="2"/>
  </r>
  <r>
    <n v="29"/>
    <s v="No"/>
    <s v="Travel_Rarely"/>
    <n v="726"/>
    <x v="1"/>
    <n v="29"/>
    <n v="1"/>
    <s v="Life Sciences"/>
    <n v="1"/>
    <n v="1859"/>
    <n v="4"/>
    <x v="1"/>
    <n v="93"/>
    <n v="1"/>
    <n v="2"/>
    <x v="4"/>
    <x v="2"/>
    <s v="Divorced"/>
    <n v="6384"/>
    <n v="21143"/>
    <n v="8"/>
    <s v="Y"/>
    <s v="No"/>
    <n v="17"/>
    <n v="3"/>
    <n v="4"/>
    <n v="80"/>
    <n v="2"/>
    <n v="11"/>
    <n v="3"/>
    <n v="3"/>
    <n v="7"/>
    <n v="0"/>
    <n v="1"/>
    <n v="6"/>
    <x v="1"/>
    <x v="2"/>
    <x v="0"/>
  </r>
  <r>
    <n v="42"/>
    <s v="No"/>
    <s v="Travel_Rarely"/>
    <n v="1142"/>
    <x v="1"/>
    <n v="8"/>
    <n v="3"/>
    <s v="Life Sciences"/>
    <n v="1"/>
    <n v="1860"/>
    <n v="4"/>
    <x v="1"/>
    <n v="81"/>
    <n v="3"/>
    <n v="1"/>
    <x v="2"/>
    <x v="2"/>
    <s v="Single"/>
    <n v="3968"/>
    <n v="13624"/>
    <n v="4"/>
    <s v="Y"/>
    <s v="No"/>
    <n v="13"/>
    <n v="3"/>
    <n v="4"/>
    <n v="80"/>
    <n v="0"/>
    <n v="8"/>
    <n v="3"/>
    <n v="3"/>
    <n v="0"/>
    <n v="0"/>
    <n v="0"/>
    <n v="0"/>
    <x v="1"/>
    <x v="0"/>
    <x v="1"/>
  </r>
  <r>
    <n v="32"/>
    <s v="Yes"/>
    <s v="Travel_Rarely"/>
    <n v="414"/>
    <x v="0"/>
    <n v="2"/>
    <n v="4"/>
    <s v="Marketing"/>
    <n v="1"/>
    <n v="1862"/>
    <n v="3"/>
    <x v="1"/>
    <n v="82"/>
    <n v="2"/>
    <n v="2"/>
    <x v="0"/>
    <x v="1"/>
    <s v="Single"/>
    <n v="9907"/>
    <n v="26186"/>
    <n v="7"/>
    <s v="Y"/>
    <s v="Yes"/>
    <n v="12"/>
    <n v="3"/>
    <n v="3"/>
    <n v="80"/>
    <n v="0"/>
    <n v="7"/>
    <n v="3"/>
    <n v="2"/>
    <n v="2"/>
    <n v="2"/>
    <n v="2"/>
    <n v="2"/>
    <x v="0"/>
    <x v="2"/>
    <x v="1"/>
  </r>
  <r>
    <n v="46"/>
    <s v="No"/>
    <s v="Travel_Rarely"/>
    <n v="1319"/>
    <x v="0"/>
    <n v="3"/>
    <n v="3"/>
    <s v="Technical Degree"/>
    <n v="1"/>
    <n v="1863"/>
    <n v="1"/>
    <x v="0"/>
    <n v="45"/>
    <n v="4"/>
    <n v="4"/>
    <x v="0"/>
    <x v="3"/>
    <s v="Divorced"/>
    <n v="13225"/>
    <n v="7739"/>
    <n v="2"/>
    <s v="Y"/>
    <s v="No"/>
    <n v="12"/>
    <n v="3"/>
    <n v="4"/>
    <n v="80"/>
    <n v="1"/>
    <n v="25"/>
    <n v="5"/>
    <n v="3"/>
    <n v="19"/>
    <n v="17"/>
    <n v="2"/>
    <n v="8"/>
    <x v="1"/>
    <x v="1"/>
    <x v="3"/>
  </r>
  <r>
    <n v="27"/>
    <s v="No"/>
    <s v="Travel_Rarely"/>
    <n v="728"/>
    <x v="0"/>
    <n v="23"/>
    <n v="1"/>
    <s v="Medical"/>
    <n v="1"/>
    <n v="1864"/>
    <n v="2"/>
    <x v="0"/>
    <n v="36"/>
    <n v="2"/>
    <n v="2"/>
    <x v="6"/>
    <x v="2"/>
    <s v="Married"/>
    <n v="3540"/>
    <n v="7018"/>
    <n v="1"/>
    <s v="Y"/>
    <s v="No"/>
    <n v="21"/>
    <n v="4"/>
    <n v="4"/>
    <n v="80"/>
    <n v="1"/>
    <n v="9"/>
    <n v="5"/>
    <n v="3"/>
    <n v="9"/>
    <n v="8"/>
    <n v="5"/>
    <n v="8"/>
    <x v="1"/>
    <x v="2"/>
    <x v="0"/>
  </r>
  <r>
    <n v="29"/>
    <s v="No"/>
    <s v="Travel_Rarely"/>
    <n v="352"/>
    <x v="2"/>
    <n v="6"/>
    <n v="1"/>
    <s v="Medical"/>
    <n v="1"/>
    <n v="1865"/>
    <n v="4"/>
    <x v="1"/>
    <n v="87"/>
    <n v="2"/>
    <n v="1"/>
    <x v="8"/>
    <x v="1"/>
    <s v="Married"/>
    <n v="2804"/>
    <n v="15434"/>
    <n v="1"/>
    <s v="Y"/>
    <s v="No"/>
    <n v="11"/>
    <n v="3"/>
    <n v="4"/>
    <n v="80"/>
    <n v="0"/>
    <n v="1"/>
    <n v="3"/>
    <n v="3"/>
    <n v="1"/>
    <n v="0"/>
    <n v="0"/>
    <n v="0"/>
    <x v="1"/>
    <x v="2"/>
    <x v="1"/>
  </r>
  <r>
    <n v="43"/>
    <s v="No"/>
    <s v="Travel_Rarely"/>
    <n v="823"/>
    <x v="1"/>
    <n v="6"/>
    <n v="3"/>
    <s v="Medical"/>
    <n v="1"/>
    <n v="1866"/>
    <n v="1"/>
    <x v="0"/>
    <n v="81"/>
    <n v="2"/>
    <n v="5"/>
    <x v="5"/>
    <x v="2"/>
    <s v="Married"/>
    <n v="19392"/>
    <n v="22539"/>
    <n v="7"/>
    <s v="Y"/>
    <s v="No"/>
    <n v="13"/>
    <n v="3"/>
    <n v="4"/>
    <n v="80"/>
    <n v="0"/>
    <n v="21"/>
    <n v="2"/>
    <n v="3"/>
    <n v="16"/>
    <n v="12"/>
    <n v="6"/>
    <n v="14"/>
    <x v="1"/>
    <x v="0"/>
    <x v="3"/>
  </r>
  <r>
    <n v="48"/>
    <s v="No"/>
    <s v="Travel_Rarely"/>
    <n v="1224"/>
    <x v="1"/>
    <n v="10"/>
    <n v="3"/>
    <s v="Life Sciences"/>
    <n v="1"/>
    <n v="1867"/>
    <n v="4"/>
    <x v="1"/>
    <n v="91"/>
    <n v="2"/>
    <n v="5"/>
    <x v="7"/>
    <x v="1"/>
    <s v="Married"/>
    <n v="19665"/>
    <n v="13583"/>
    <n v="4"/>
    <s v="Y"/>
    <s v="No"/>
    <n v="12"/>
    <n v="3"/>
    <n v="4"/>
    <n v="80"/>
    <n v="0"/>
    <n v="29"/>
    <n v="3"/>
    <n v="3"/>
    <n v="22"/>
    <n v="10"/>
    <n v="12"/>
    <n v="9"/>
    <x v="1"/>
    <x v="1"/>
    <x v="3"/>
  </r>
  <r>
    <n v="29"/>
    <s v="Yes"/>
    <s v="Travel_Frequently"/>
    <n v="459"/>
    <x v="1"/>
    <n v="24"/>
    <n v="2"/>
    <s v="Life Sciences"/>
    <n v="1"/>
    <n v="1868"/>
    <n v="4"/>
    <x v="1"/>
    <n v="73"/>
    <n v="2"/>
    <n v="1"/>
    <x v="1"/>
    <x v="0"/>
    <s v="Single"/>
    <n v="2439"/>
    <n v="14753"/>
    <n v="1"/>
    <s v="Y"/>
    <s v="Yes"/>
    <n v="24"/>
    <n v="4"/>
    <n v="2"/>
    <n v="80"/>
    <n v="0"/>
    <n v="1"/>
    <n v="3"/>
    <n v="2"/>
    <n v="1"/>
    <n v="0"/>
    <n v="1"/>
    <n v="0"/>
    <x v="0"/>
    <x v="2"/>
    <x v="1"/>
  </r>
  <r>
    <n v="46"/>
    <s v="Yes"/>
    <s v="Travel_Rarely"/>
    <n v="1254"/>
    <x v="0"/>
    <n v="10"/>
    <n v="3"/>
    <s v="Life Sciences"/>
    <n v="1"/>
    <n v="1869"/>
    <n v="3"/>
    <x v="0"/>
    <n v="64"/>
    <n v="3"/>
    <n v="3"/>
    <x v="0"/>
    <x v="1"/>
    <s v="Married"/>
    <n v="7314"/>
    <n v="14011"/>
    <n v="5"/>
    <s v="Y"/>
    <s v="No"/>
    <n v="21"/>
    <n v="4"/>
    <n v="3"/>
    <n v="80"/>
    <n v="3"/>
    <n v="14"/>
    <n v="2"/>
    <n v="3"/>
    <n v="8"/>
    <n v="7"/>
    <n v="0"/>
    <n v="7"/>
    <x v="0"/>
    <x v="1"/>
    <x v="0"/>
  </r>
  <r>
    <n v="27"/>
    <s v="No"/>
    <s v="Travel_Frequently"/>
    <n v="1131"/>
    <x v="1"/>
    <n v="15"/>
    <n v="3"/>
    <s v="Life Sciences"/>
    <n v="1"/>
    <n v="1870"/>
    <n v="4"/>
    <x v="0"/>
    <n v="77"/>
    <n v="2"/>
    <n v="1"/>
    <x v="1"/>
    <x v="3"/>
    <s v="Married"/>
    <n v="4774"/>
    <n v="23844"/>
    <n v="0"/>
    <s v="Y"/>
    <s v="No"/>
    <n v="19"/>
    <n v="3"/>
    <n v="4"/>
    <n v="80"/>
    <n v="1"/>
    <n v="8"/>
    <n v="2"/>
    <n v="2"/>
    <n v="7"/>
    <n v="6"/>
    <n v="7"/>
    <n v="3"/>
    <x v="1"/>
    <x v="2"/>
    <x v="0"/>
  </r>
  <r>
    <n v="39"/>
    <s v="No"/>
    <s v="Travel_Rarely"/>
    <n v="835"/>
    <x v="1"/>
    <n v="19"/>
    <n v="4"/>
    <s v="Other"/>
    <n v="1"/>
    <n v="1871"/>
    <n v="4"/>
    <x v="1"/>
    <n v="41"/>
    <n v="3"/>
    <n v="2"/>
    <x v="1"/>
    <x v="0"/>
    <s v="Divorced"/>
    <n v="3902"/>
    <n v="5141"/>
    <n v="8"/>
    <s v="Y"/>
    <s v="No"/>
    <n v="14"/>
    <n v="3"/>
    <n v="2"/>
    <n v="80"/>
    <n v="3"/>
    <n v="7"/>
    <n v="2"/>
    <n v="3"/>
    <n v="2"/>
    <n v="2"/>
    <n v="2"/>
    <n v="2"/>
    <x v="1"/>
    <x v="0"/>
    <x v="1"/>
  </r>
  <r>
    <n v="55"/>
    <s v="No"/>
    <s v="Travel_Rarely"/>
    <n v="836"/>
    <x v="1"/>
    <n v="2"/>
    <n v="4"/>
    <s v="Technical Degree"/>
    <n v="1"/>
    <n v="1873"/>
    <n v="2"/>
    <x v="1"/>
    <n v="98"/>
    <n v="2"/>
    <n v="1"/>
    <x v="1"/>
    <x v="0"/>
    <s v="Married"/>
    <n v="2662"/>
    <n v="7975"/>
    <n v="8"/>
    <s v="Y"/>
    <s v="No"/>
    <n v="20"/>
    <n v="4"/>
    <n v="2"/>
    <n v="80"/>
    <n v="1"/>
    <n v="19"/>
    <n v="2"/>
    <n v="4"/>
    <n v="5"/>
    <n v="2"/>
    <n v="0"/>
    <n v="4"/>
    <x v="1"/>
    <x v="1"/>
    <x v="2"/>
  </r>
  <r>
    <n v="28"/>
    <s v="No"/>
    <s v="Travel_Rarely"/>
    <n v="1172"/>
    <x v="0"/>
    <n v="3"/>
    <n v="3"/>
    <s v="Medical"/>
    <n v="1"/>
    <n v="1875"/>
    <n v="2"/>
    <x v="0"/>
    <n v="78"/>
    <n v="3"/>
    <n v="1"/>
    <x v="6"/>
    <x v="1"/>
    <s v="Married"/>
    <n v="2856"/>
    <n v="3692"/>
    <n v="1"/>
    <s v="Y"/>
    <s v="No"/>
    <n v="19"/>
    <n v="3"/>
    <n v="4"/>
    <n v="80"/>
    <n v="1"/>
    <n v="1"/>
    <n v="3"/>
    <n v="3"/>
    <n v="1"/>
    <n v="0"/>
    <n v="0"/>
    <n v="0"/>
    <x v="1"/>
    <x v="2"/>
    <x v="1"/>
  </r>
  <r>
    <n v="30"/>
    <s v="Yes"/>
    <s v="Travel_Rarely"/>
    <n v="945"/>
    <x v="0"/>
    <n v="9"/>
    <n v="3"/>
    <s v="Medical"/>
    <n v="1"/>
    <n v="1876"/>
    <n v="2"/>
    <x v="1"/>
    <n v="89"/>
    <n v="3"/>
    <n v="1"/>
    <x v="6"/>
    <x v="0"/>
    <s v="Single"/>
    <n v="1081"/>
    <n v="16019"/>
    <n v="1"/>
    <s v="Y"/>
    <s v="No"/>
    <n v="13"/>
    <n v="3"/>
    <n v="3"/>
    <n v="80"/>
    <n v="0"/>
    <n v="1"/>
    <n v="3"/>
    <n v="2"/>
    <n v="1"/>
    <n v="0"/>
    <n v="0"/>
    <n v="0"/>
    <x v="0"/>
    <x v="2"/>
    <x v="1"/>
  </r>
  <r>
    <n v="22"/>
    <s v="Yes"/>
    <s v="Travel_Rarely"/>
    <n v="391"/>
    <x v="1"/>
    <n v="7"/>
    <n v="1"/>
    <s v="Life Sciences"/>
    <n v="1"/>
    <n v="1878"/>
    <n v="4"/>
    <x v="1"/>
    <n v="75"/>
    <n v="3"/>
    <n v="1"/>
    <x v="1"/>
    <x v="1"/>
    <s v="Single"/>
    <n v="2472"/>
    <n v="26092"/>
    <n v="1"/>
    <s v="Y"/>
    <s v="Yes"/>
    <n v="23"/>
    <n v="4"/>
    <n v="1"/>
    <n v="80"/>
    <n v="0"/>
    <n v="1"/>
    <n v="2"/>
    <n v="3"/>
    <n v="1"/>
    <n v="0"/>
    <n v="0"/>
    <n v="0"/>
    <x v="0"/>
    <x v="3"/>
    <x v="1"/>
  </r>
  <r>
    <n v="36"/>
    <s v="No"/>
    <s v="Travel_Rarely"/>
    <n v="1266"/>
    <x v="0"/>
    <n v="10"/>
    <n v="4"/>
    <s v="Technical Degree"/>
    <n v="1"/>
    <n v="1880"/>
    <n v="2"/>
    <x v="0"/>
    <n v="63"/>
    <n v="2"/>
    <n v="2"/>
    <x v="0"/>
    <x v="2"/>
    <s v="Married"/>
    <n v="5673"/>
    <n v="6060"/>
    <n v="1"/>
    <s v="Y"/>
    <s v="Yes"/>
    <n v="13"/>
    <n v="3"/>
    <n v="1"/>
    <n v="80"/>
    <n v="1"/>
    <n v="10"/>
    <n v="4"/>
    <n v="3"/>
    <n v="10"/>
    <n v="9"/>
    <n v="1"/>
    <n v="7"/>
    <x v="1"/>
    <x v="0"/>
    <x v="0"/>
  </r>
  <r>
    <n v="31"/>
    <s v="No"/>
    <s v="Travel_Rarely"/>
    <n v="311"/>
    <x v="1"/>
    <n v="20"/>
    <n v="3"/>
    <s v="Life Sciences"/>
    <n v="1"/>
    <n v="1881"/>
    <n v="2"/>
    <x v="1"/>
    <n v="89"/>
    <n v="3"/>
    <n v="2"/>
    <x v="2"/>
    <x v="2"/>
    <s v="Divorced"/>
    <n v="4197"/>
    <n v="18624"/>
    <n v="1"/>
    <s v="Y"/>
    <s v="No"/>
    <n v="11"/>
    <n v="3"/>
    <n v="1"/>
    <n v="80"/>
    <n v="1"/>
    <n v="10"/>
    <n v="2"/>
    <n v="3"/>
    <n v="10"/>
    <n v="8"/>
    <n v="0"/>
    <n v="2"/>
    <x v="1"/>
    <x v="2"/>
    <x v="0"/>
  </r>
  <r>
    <n v="34"/>
    <s v="No"/>
    <s v="Travel_Rarely"/>
    <n v="1480"/>
    <x v="0"/>
    <n v="4"/>
    <n v="3"/>
    <s v="Life Sciences"/>
    <n v="1"/>
    <n v="1882"/>
    <n v="3"/>
    <x v="1"/>
    <n v="64"/>
    <n v="3"/>
    <n v="3"/>
    <x v="0"/>
    <x v="0"/>
    <s v="Married"/>
    <n v="9713"/>
    <n v="24444"/>
    <n v="2"/>
    <s v="Y"/>
    <s v="Yes"/>
    <n v="13"/>
    <n v="3"/>
    <n v="4"/>
    <n v="80"/>
    <n v="3"/>
    <n v="9"/>
    <n v="3"/>
    <n v="3"/>
    <n v="5"/>
    <n v="3"/>
    <n v="1"/>
    <n v="0"/>
    <x v="1"/>
    <x v="2"/>
    <x v="2"/>
  </r>
  <r>
    <n v="29"/>
    <s v="No"/>
    <s v="Travel_Rarely"/>
    <n v="592"/>
    <x v="1"/>
    <n v="7"/>
    <n v="3"/>
    <s v="Life Sciences"/>
    <n v="1"/>
    <n v="1883"/>
    <n v="4"/>
    <x v="1"/>
    <n v="59"/>
    <n v="3"/>
    <n v="1"/>
    <x v="2"/>
    <x v="3"/>
    <s v="Single"/>
    <n v="2062"/>
    <n v="19384"/>
    <n v="3"/>
    <s v="Y"/>
    <s v="No"/>
    <n v="14"/>
    <n v="3"/>
    <n v="2"/>
    <n v="80"/>
    <n v="0"/>
    <n v="11"/>
    <n v="2"/>
    <n v="3"/>
    <n v="3"/>
    <n v="2"/>
    <n v="1"/>
    <n v="2"/>
    <x v="1"/>
    <x v="2"/>
    <x v="2"/>
  </r>
  <r>
    <n v="37"/>
    <s v="No"/>
    <s v="Travel_Rarely"/>
    <n v="783"/>
    <x v="1"/>
    <n v="7"/>
    <n v="4"/>
    <s v="Medical"/>
    <n v="1"/>
    <n v="1885"/>
    <n v="4"/>
    <x v="1"/>
    <n v="78"/>
    <n v="3"/>
    <n v="2"/>
    <x v="1"/>
    <x v="3"/>
    <s v="Married"/>
    <n v="4284"/>
    <n v="13588"/>
    <n v="5"/>
    <s v="Y"/>
    <s v="Yes"/>
    <n v="22"/>
    <n v="4"/>
    <n v="3"/>
    <n v="80"/>
    <n v="1"/>
    <n v="16"/>
    <n v="2"/>
    <n v="3"/>
    <n v="5"/>
    <n v="3"/>
    <n v="0"/>
    <n v="4"/>
    <x v="1"/>
    <x v="0"/>
    <x v="2"/>
  </r>
  <r>
    <n v="35"/>
    <s v="No"/>
    <s v="Travel_Rarely"/>
    <n v="219"/>
    <x v="1"/>
    <n v="16"/>
    <n v="2"/>
    <s v="Other"/>
    <n v="1"/>
    <n v="1886"/>
    <n v="4"/>
    <x v="0"/>
    <n v="44"/>
    <n v="2"/>
    <n v="2"/>
    <x v="3"/>
    <x v="1"/>
    <s v="Married"/>
    <n v="4788"/>
    <n v="25388"/>
    <n v="0"/>
    <s v="Y"/>
    <s v="Yes"/>
    <n v="11"/>
    <n v="3"/>
    <n v="4"/>
    <n v="80"/>
    <n v="0"/>
    <n v="4"/>
    <n v="2"/>
    <n v="3"/>
    <n v="3"/>
    <n v="2"/>
    <n v="0"/>
    <n v="2"/>
    <x v="1"/>
    <x v="2"/>
    <x v="2"/>
  </r>
  <r>
    <n v="45"/>
    <s v="No"/>
    <s v="Travel_Rarely"/>
    <n v="556"/>
    <x v="1"/>
    <n v="25"/>
    <n v="2"/>
    <s v="Life Sciences"/>
    <n v="1"/>
    <n v="1888"/>
    <n v="2"/>
    <x v="0"/>
    <n v="93"/>
    <n v="2"/>
    <n v="2"/>
    <x v="3"/>
    <x v="0"/>
    <s v="Married"/>
    <n v="5906"/>
    <n v="23888"/>
    <n v="0"/>
    <s v="Y"/>
    <s v="No"/>
    <n v="13"/>
    <n v="3"/>
    <n v="4"/>
    <n v="80"/>
    <n v="2"/>
    <n v="10"/>
    <n v="2"/>
    <n v="2"/>
    <n v="9"/>
    <n v="8"/>
    <n v="3"/>
    <n v="8"/>
    <x v="1"/>
    <x v="0"/>
    <x v="0"/>
  </r>
  <r>
    <n v="36"/>
    <s v="No"/>
    <s v="Travel_Frequently"/>
    <n v="1213"/>
    <x v="2"/>
    <n v="2"/>
    <n v="1"/>
    <s v="Human Resources"/>
    <n v="1"/>
    <n v="1890"/>
    <n v="2"/>
    <x v="1"/>
    <n v="94"/>
    <n v="2"/>
    <n v="2"/>
    <x v="8"/>
    <x v="0"/>
    <s v="Single"/>
    <n v="3886"/>
    <n v="4223"/>
    <n v="1"/>
    <s v="Y"/>
    <s v="No"/>
    <n v="21"/>
    <n v="4"/>
    <n v="4"/>
    <n v="80"/>
    <n v="0"/>
    <n v="10"/>
    <n v="2"/>
    <n v="2"/>
    <n v="10"/>
    <n v="1"/>
    <n v="0"/>
    <n v="8"/>
    <x v="1"/>
    <x v="0"/>
    <x v="0"/>
  </r>
  <r>
    <n v="40"/>
    <s v="No"/>
    <s v="Travel_Rarely"/>
    <n v="1137"/>
    <x v="1"/>
    <n v="1"/>
    <n v="4"/>
    <s v="Life Sciences"/>
    <n v="1"/>
    <n v="1892"/>
    <n v="1"/>
    <x v="1"/>
    <n v="98"/>
    <n v="3"/>
    <n v="4"/>
    <x v="5"/>
    <x v="3"/>
    <s v="Divorced"/>
    <n v="16823"/>
    <n v="18991"/>
    <n v="2"/>
    <s v="Y"/>
    <s v="No"/>
    <n v="11"/>
    <n v="3"/>
    <n v="1"/>
    <n v="80"/>
    <n v="1"/>
    <n v="22"/>
    <n v="3"/>
    <n v="3"/>
    <n v="19"/>
    <n v="7"/>
    <n v="11"/>
    <n v="16"/>
    <x v="1"/>
    <x v="0"/>
    <x v="3"/>
  </r>
  <r>
    <n v="26"/>
    <s v="No"/>
    <s v="Travel_Rarely"/>
    <n v="482"/>
    <x v="1"/>
    <n v="1"/>
    <n v="2"/>
    <s v="Life Sciences"/>
    <n v="1"/>
    <n v="1893"/>
    <n v="2"/>
    <x v="0"/>
    <n v="90"/>
    <n v="2"/>
    <n v="1"/>
    <x v="1"/>
    <x v="2"/>
    <s v="Married"/>
    <n v="2933"/>
    <n v="14908"/>
    <n v="1"/>
    <s v="Y"/>
    <s v="Yes"/>
    <n v="13"/>
    <n v="3"/>
    <n v="3"/>
    <n v="80"/>
    <n v="1"/>
    <n v="1"/>
    <n v="3"/>
    <n v="2"/>
    <n v="1"/>
    <n v="0"/>
    <n v="1"/>
    <n v="0"/>
    <x v="1"/>
    <x v="2"/>
    <x v="1"/>
  </r>
  <r>
    <n v="27"/>
    <s v="No"/>
    <s v="Travel_Rarely"/>
    <n v="511"/>
    <x v="0"/>
    <n v="2"/>
    <n v="2"/>
    <s v="Medical"/>
    <n v="1"/>
    <n v="1898"/>
    <n v="1"/>
    <x v="0"/>
    <n v="89"/>
    <n v="4"/>
    <n v="2"/>
    <x v="0"/>
    <x v="2"/>
    <s v="Single"/>
    <n v="6500"/>
    <n v="26997"/>
    <n v="0"/>
    <s v="Y"/>
    <s v="No"/>
    <n v="14"/>
    <n v="3"/>
    <n v="2"/>
    <n v="80"/>
    <n v="0"/>
    <n v="9"/>
    <n v="5"/>
    <n v="2"/>
    <n v="8"/>
    <n v="7"/>
    <n v="0"/>
    <n v="7"/>
    <x v="1"/>
    <x v="2"/>
    <x v="0"/>
  </r>
  <r>
    <n v="48"/>
    <s v="No"/>
    <s v="Travel_Frequently"/>
    <n v="117"/>
    <x v="1"/>
    <n v="22"/>
    <n v="3"/>
    <s v="Medical"/>
    <n v="1"/>
    <n v="1900"/>
    <n v="4"/>
    <x v="0"/>
    <n v="58"/>
    <n v="3"/>
    <n v="4"/>
    <x v="5"/>
    <x v="0"/>
    <s v="Divorced"/>
    <n v="17174"/>
    <n v="2437"/>
    <n v="3"/>
    <s v="Y"/>
    <s v="No"/>
    <n v="11"/>
    <n v="3"/>
    <n v="2"/>
    <n v="80"/>
    <n v="1"/>
    <n v="24"/>
    <n v="3"/>
    <n v="3"/>
    <n v="22"/>
    <n v="17"/>
    <n v="4"/>
    <n v="7"/>
    <x v="1"/>
    <x v="1"/>
    <x v="3"/>
  </r>
  <r>
    <n v="44"/>
    <s v="No"/>
    <s v="Travel_Rarely"/>
    <n v="170"/>
    <x v="1"/>
    <n v="1"/>
    <n v="4"/>
    <s v="Life Sciences"/>
    <n v="1"/>
    <n v="1903"/>
    <n v="2"/>
    <x v="1"/>
    <n v="78"/>
    <n v="4"/>
    <n v="2"/>
    <x v="4"/>
    <x v="3"/>
    <s v="Married"/>
    <n v="5033"/>
    <n v="9364"/>
    <n v="2"/>
    <s v="Y"/>
    <s v="No"/>
    <n v="15"/>
    <n v="3"/>
    <n v="4"/>
    <n v="80"/>
    <n v="1"/>
    <n v="10"/>
    <n v="5"/>
    <n v="3"/>
    <n v="2"/>
    <n v="0"/>
    <n v="2"/>
    <n v="2"/>
    <x v="1"/>
    <x v="0"/>
    <x v="1"/>
  </r>
  <r>
    <n v="34"/>
    <s v="Yes"/>
    <s v="Non-Travel"/>
    <n v="967"/>
    <x v="1"/>
    <n v="16"/>
    <n v="4"/>
    <s v="Technical Degree"/>
    <n v="1"/>
    <n v="1905"/>
    <n v="4"/>
    <x v="1"/>
    <n v="85"/>
    <n v="1"/>
    <n v="1"/>
    <x v="1"/>
    <x v="3"/>
    <s v="Married"/>
    <n v="2307"/>
    <n v="14460"/>
    <n v="1"/>
    <s v="Y"/>
    <s v="Yes"/>
    <n v="23"/>
    <n v="4"/>
    <n v="2"/>
    <n v="80"/>
    <n v="1"/>
    <n v="5"/>
    <n v="2"/>
    <n v="3"/>
    <n v="5"/>
    <n v="2"/>
    <n v="3"/>
    <n v="0"/>
    <x v="0"/>
    <x v="2"/>
    <x v="2"/>
  </r>
  <r>
    <n v="56"/>
    <s v="Yes"/>
    <s v="Travel_Rarely"/>
    <n v="1162"/>
    <x v="1"/>
    <n v="24"/>
    <n v="2"/>
    <s v="Life Sciences"/>
    <n v="1"/>
    <n v="1907"/>
    <n v="1"/>
    <x v="1"/>
    <n v="97"/>
    <n v="3"/>
    <n v="1"/>
    <x v="2"/>
    <x v="0"/>
    <s v="Single"/>
    <n v="2587"/>
    <n v="10261"/>
    <n v="1"/>
    <s v="Y"/>
    <s v="No"/>
    <n v="16"/>
    <n v="3"/>
    <n v="4"/>
    <n v="80"/>
    <n v="0"/>
    <n v="5"/>
    <n v="3"/>
    <n v="3"/>
    <n v="4"/>
    <n v="2"/>
    <n v="1"/>
    <n v="0"/>
    <x v="0"/>
    <x v="1"/>
    <x v="2"/>
  </r>
  <r>
    <n v="36"/>
    <s v="No"/>
    <s v="Travel_Rarely"/>
    <n v="335"/>
    <x v="0"/>
    <n v="17"/>
    <n v="2"/>
    <s v="Marketing"/>
    <n v="1"/>
    <n v="1908"/>
    <n v="3"/>
    <x v="1"/>
    <n v="33"/>
    <n v="2"/>
    <n v="2"/>
    <x v="0"/>
    <x v="1"/>
    <s v="Married"/>
    <n v="5507"/>
    <n v="16822"/>
    <n v="2"/>
    <s v="Y"/>
    <s v="No"/>
    <n v="16"/>
    <n v="3"/>
    <n v="3"/>
    <n v="80"/>
    <n v="2"/>
    <n v="12"/>
    <n v="1"/>
    <n v="1"/>
    <n v="4"/>
    <n v="2"/>
    <n v="1"/>
    <n v="3"/>
    <x v="1"/>
    <x v="0"/>
    <x v="2"/>
  </r>
  <r>
    <n v="41"/>
    <s v="No"/>
    <s v="Travel_Rarely"/>
    <n v="337"/>
    <x v="0"/>
    <n v="8"/>
    <n v="3"/>
    <s v="Marketing"/>
    <n v="1"/>
    <n v="1909"/>
    <n v="3"/>
    <x v="0"/>
    <n v="54"/>
    <n v="3"/>
    <n v="2"/>
    <x v="0"/>
    <x v="1"/>
    <s v="Married"/>
    <n v="4393"/>
    <n v="26841"/>
    <n v="5"/>
    <s v="Y"/>
    <s v="No"/>
    <n v="21"/>
    <n v="4"/>
    <n v="3"/>
    <n v="80"/>
    <n v="1"/>
    <n v="14"/>
    <n v="3"/>
    <n v="3"/>
    <n v="5"/>
    <n v="4"/>
    <n v="1"/>
    <n v="4"/>
    <x v="1"/>
    <x v="0"/>
    <x v="2"/>
  </r>
  <r>
    <n v="42"/>
    <s v="No"/>
    <s v="Travel_Rarely"/>
    <n v="1396"/>
    <x v="1"/>
    <n v="6"/>
    <n v="3"/>
    <s v="Medical"/>
    <n v="1"/>
    <n v="1911"/>
    <n v="3"/>
    <x v="1"/>
    <n v="83"/>
    <n v="3"/>
    <n v="3"/>
    <x v="7"/>
    <x v="3"/>
    <s v="Married"/>
    <n v="13348"/>
    <n v="14842"/>
    <n v="9"/>
    <s v="Y"/>
    <s v="No"/>
    <n v="13"/>
    <n v="3"/>
    <n v="2"/>
    <n v="80"/>
    <n v="1"/>
    <n v="18"/>
    <n v="3"/>
    <n v="4"/>
    <n v="13"/>
    <n v="7"/>
    <n v="5"/>
    <n v="7"/>
    <x v="1"/>
    <x v="0"/>
    <x v="3"/>
  </r>
  <r>
    <n v="31"/>
    <s v="No"/>
    <s v="Travel_Rarely"/>
    <n v="1079"/>
    <x v="0"/>
    <n v="10"/>
    <n v="2"/>
    <s v="Medical"/>
    <n v="1"/>
    <n v="1912"/>
    <n v="3"/>
    <x v="0"/>
    <n v="86"/>
    <n v="3"/>
    <n v="2"/>
    <x v="0"/>
    <x v="0"/>
    <s v="Divorced"/>
    <n v="6583"/>
    <n v="20115"/>
    <n v="2"/>
    <s v="Y"/>
    <s v="Yes"/>
    <n v="11"/>
    <n v="3"/>
    <n v="4"/>
    <n v="80"/>
    <n v="1"/>
    <n v="8"/>
    <n v="2"/>
    <n v="3"/>
    <n v="5"/>
    <n v="2"/>
    <n v="1"/>
    <n v="4"/>
    <x v="1"/>
    <x v="2"/>
    <x v="2"/>
  </r>
  <r>
    <n v="34"/>
    <s v="No"/>
    <s v="Travel_Rarely"/>
    <n v="735"/>
    <x v="0"/>
    <n v="3"/>
    <n v="1"/>
    <s v="Medical"/>
    <n v="1"/>
    <n v="1915"/>
    <n v="4"/>
    <x v="0"/>
    <n v="75"/>
    <n v="2"/>
    <n v="2"/>
    <x v="0"/>
    <x v="0"/>
    <s v="Married"/>
    <n v="8103"/>
    <n v="16495"/>
    <n v="3"/>
    <s v="Y"/>
    <s v="Yes"/>
    <n v="12"/>
    <n v="3"/>
    <n v="3"/>
    <n v="80"/>
    <n v="0"/>
    <n v="9"/>
    <n v="3"/>
    <n v="2"/>
    <n v="4"/>
    <n v="2"/>
    <n v="0"/>
    <n v="1"/>
    <x v="1"/>
    <x v="2"/>
    <x v="2"/>
  </r>
  <r>
    <n v="31"/>
    <s v="No"/>
    <s v="Travel_Rarely"/>
    <n v="471"/>
    <x v="1"/>
    <n v="4"/>
    <n v="3"/>
    <s v="Medical"/>
    <n v="1"/>
    <n v="1916"/>
    <n v="1"/>
    <x v="0"/>
    <n v="62"/>
    <n v="4"/>
    <n v="1"/>
    <x v="2"/>
    <x v="2"/>
    <s v="Divorced"/>
    <n v="3978"/>
    <n v="16031"/>
    <n v="8"/>
    <s v="Y"/>
    <s v="No"/>
    <n v="12"/>
    <n v="3"/>
    <n v="2"/>
    <n v="80"/>
    <n v="1"/>
    <n v="4"/>
    <n v="0"/>
    <n v="2"/>
    <n v="2"/>
    <n v="2"/>
    <n v="2"/>
    <n v="2"/>
    <x v="1"/>
    <x v="2"/>
    <x v="1"/>
  </r>
  <r>
    <n v="26"/>
    <s v="No"/>
    <s v="Travel_Frequently"/>
    <n v="1096"/>
    <x v="1"/>
    <n v="6"/>
    <n v="3"/>
    <s v="Other"/>
    <n v="1"/>
    <n v="1918"/>
    <n v="3"/>
    <x v="1"/>
    <n v="61"/>
    <n v="4"/>
    <n v="1"/>
    <x v="2"/>
    <x v="0"/>
    <s v="Married"/>
    <n v="2544"/>
    <n v="7102"/>
    <n v="0"/>
    <s v="Y"/>
    <s v="No"/>
    <n v="18"/>
    <n v="3"/>
    <n v="1"/>
    <n v="80"/>
    <n v="1"/>
    <n v="8"/>
    <n v="3"/>
    <n v="3"/>
    <n v="7"/>
    <n v="7"/>
    <n v="7"/>
    <n v="7"/>
    <x v="1"/>
    <x v="2"/>
    <x v="0"/>
  </r>
  <r>
    <n v="45"/>
    <s v="No"/>
    <s v="Travel_Frequently"/>
    <n v="1297"/>
    <x v="1"/>
    <n v="1"/>
    <n v="4"/>
    <s v="Medical"/>
    <n v="1"/>
    <n v="1922"/>
    <n v="2"/>
    <x v="1"/>
    <n v="44"/>
    <n v="3"/>
    <n v="2"/>
    <x v="4"/>
    <x v="2"/>
    <s v="Single"/>
    <n v="5399"/>
    <n v="14511"/>
    <n v="4"/>
    <s v="Y"/>
    <s v="No"/>
    <n v="12"/>
    <n v="3"/>
    <n v="3"/>
    <n v="80"/>
    <n v="0"/>
    <n v="12"/>
    <n v="3"/>
    <n v="3"/>
    <n v="4"/>
    <n v="2"/>
    <n v="0"/>
    <n v="3"/>
    <x v="1"/>
    <x v="0"/>
    <x v="2"/>
  </r>
  <r>
    <n v="33"/>
    <s v="No"/>
    <s v="Travel_Rarely"/>
    <n v="217"/>
    <x v="0"/>
    <n v="10"/>
    <n v="4"/>
    <s v="Marketing"/>
    <n v="1"/>
    <n v="1924"/>
    <n v="2"/>
    <x v="1"/>
    <n v="43"/>
    <n v="3"/>
    <n v="2"/>
    <x v="0"/>
    <x v="2"/>
    <s v="Single"/>
    <n v="5487"/>
    <n v="10410"/>
    <n v="1"/>
    <s v="Y"/>
    <s v="No"/>
    <n v="14"/>
    <n v="3"/>
    <n v="2"/>
    <n v="80"/>
    <n v="0"/>
    <n v="10"/>
    <n v="2"/>
    <n v="2"/>
    <n v="10"/>
    <n v="4"/>
    <n v="0"/>
    <n v="9"/>
    <x v="1"/>
    <x v="2"/>
    <x v="0"/>
  </r>
  <r>
    <n v="28"/>
    <s v="No"/>
    <s v="Travel_Frequently"/>
    <n v="783"/>
    <x v="0"/>
    <n v="1"/>
    <n v="2"/>
    <s v="Life Sciences"/>
    <n v="1"/>
    <n v="1927"/>
    <n v="3"/>
    <x v="1"/>
    <n v="42"/>
    <n v="2"/>
    <n v="2"/>
    <x v="0"/>
    <x v="0"/>
    <s v="Married"/>
    <n v="6834"/>
    <n v="19255"/>
    <n v="1"/>
    <s v="Y"/>
    <s v="Yes"/>
    <n v="12"/>
    <n v="3"/>
    <n v="3"/>
    <n v="80"/>
    <n v="1"/>
    <n v="7"/>
    <n v="2"/>
    <n v="3"/>
    <n v="7"/>
    <n v="7"/>
    <n v="0"/>
    <n v="7"/>
    <x v="1"/>
    <x v="2"/>
    <x v="0"/>
  </r>
  <r>
    <n v="29"/>
    <s v="Yes"/>
    <s v="Travel_Frequently"/>
    <n v="746"/>
    <x v="0"/>
    <n v="24"/>
    <n v="3"/>
    <s v="Technical Degree"/>
    <n v="1"/>
    <n v="1928"/>
    <n v="3"/>
    <x v="1"/>
    <n v="45"/>
    <n v="4"/>
    <n v="1"/>
    <x v="6"/>
    <x v="3"/>
    <s v="Single"/>
    <n v="1091"/>
    <n v="10642"/>
    <n v="1"/>
    <s v="Y"/>
    <s v="No"/>
    <n v="17"/>
    <n v="3"/>
    <n v="4"/>
    <n v="80"/>
    <n v="0"/>
    <n v="1"/>
    <n v="3"/>
    <n v="3"/>
    <n v="1"/>
    <n v="0"/>
    <n v="0"/>
    <n v="0"/>
    <x v="0"/>
    <x v="2"/>
    <x v="1"/>
  </r>
  <r>
    <n v="39"/>
    <s v="No"/>
    <s v="Non-Travel"/>
    <n v="1251"/>
    <x v="0"/>
    <n v="21"/>
    <n v="4"/>
    <s v="Life Sciences"/>
    <n v="1"/>
    <n v="1929"/>
    <n v="1"/>
    <x v="0"/>
    <n v="32"/>
    <n v="1"/>
    <n v="2"/>
    <x v="0"/>
    <x v="2"/>
    <s v="Married"/>
    <n v="5736"/>
    <n v="3987"/>
    <n v="6"/>
    <s v="Y"/>
    <s v="No"/>
    <n v="19"/>
    <n v="3"/>
    <n v="3"/>
    <n v="80"/>
    <n v="1"/>
    <n v="10"/>
    <n v="1"/>
    <n v="3"/>
    <n v="3"/>
    <n v="2"/>
    <n v="1"/>
    <n v="2"/>
    <x v="1"/>
    <x v="0"/>
    <x v="2"/>
  </r>
  <r>
    <n v="27"/>
    <s v="No"/>
    <s v="Travel_Rarely"/>
    <n v="1354"/>
    <x v="1"/>
    <n v="2"/>
    <n v="4"/>
    <s v="Technical Degree"/>
    <n v="1"/>
    <n v="1931"/>
    <n v="2"/>
    <x v="1"/>
    <n v="41"/>
    <n v="3"/>
    <n v="1"/>
    <x v="1"/>
    <x v="1"/>
    <s v="Married"/>
    <n v="2226"/>
    <n v="6073"/>
    <n v="1"/>
    <s v="Y"/>
    <s v="No"/>
    <n v="11"/>
    <n v="3"/>
    <n v="3"/>
    <n v="80"/>
    <n v="1"/>
    <n v="6"/>
    <n v="3"/>
    <n v="2"/>
    <n v="5"/>
    <n v="3"/>
    <n v="1"/>
    <n v="2"/>
    <x v="1"/>
    <x v="2"/>
    <x v="2"/>
  </r>
  <r>
    <n v="34"/>
    <s v="No"/>
    <s v="Travel_Frequently"/>
    <n v="735"/>
    <x v="1"/>
    <n v="22"/>
    <n v="4"/>
    <s v="Other"/>
    <n v="1"/>
    <n v="1932"/>
    <n v="3"/>
    <x v="1"/>
    <n v="86"/>
    <n v="2"/>
    <n v="2"/>
    <x v="1"/>
    <x v="0"/>
    <s v="Married"/>
    <n v="5747"/>
    <n v="26496"/>
    <n v="1"/>
    <s v="Y"/>
    <s v="Yes"/>
    <n v="15"/>
    <n v="3"/>
    <n v="2"/>
    <n v="80"/>
    <n v="0"/>
    <n v="16"/>
    <n v="3"/>
    <n v="3"/>
    <n v="15"/>
    <n v="10"/>
    <n v="6"/>
    <n v="11"/>
    <x v="1"/>
    <x v="2"/>
    <x v="3"/>
  </r>
  <r>
    <n v="28"/>
    <s v="Yes"/>
    <s v="Travel_Rarely"/>
    <n v="1475"/>
    <x v="0"/>
    <n v="13"/>
    <n v="2"/>
    <s v="Marketing"/>
    <n v="1"/>
    <n v="1933"/>
    <n v="4"/>
    <x v="0"/>
    <n v="84"/>
    <n v="3"/>
    <n v="2"/>
    <x v="0"/>
    <x v="2"/>
    <s v="Single"/>
    <n v="9854"/>
    <n v="23352"/>
    <n v="3"/>
    <s v="Y"/>
    <s v="Yes"/>
    <n v="11"/>
    <n v="3"/>
    <n v="4"/>
    <n v="80"/>
    <n v="0"/>
    <n v="6"/>
    <n v="0"/>
    <n v="3"/>
    <n v="2"/>
    <n v="0"/>
    <n v="2"/>
    <n v="2"/>
    <x v="0"/>
    <x v="2"/>
    <x v="1"/>
  </r>
  <r>
    <n v="47"/>
    <s v="No"/>
    <s v="Non-Travel"/>
    <n v="1169"/>
    <x v="1"/>
    <n v="14"/>
    <n v="4"/>
    <s v="Technical Degree"/>
    <n v="1"/>
    <n v="1934"/>
    <n v="3"/>
    <x v="1"/>
    <n v="64"/>
    <n v="3"/>
    <n v="2"/>
    <x v="1"/>
    <x v="1"/>
    <s v="Married"/>
    <n v="5467"/>
    <n v="2125"/>
    <n v="8"/>
    <s v="Y"/>
    <s v="No"/>
    <n v="18"/>
    <n v="3"/>
    <n v="3"/>
    <n v="80"/>
    <n v="1"/>
    <n v="16"/>
    <n v="4"/>
    <n v="4"/>
    <n v="8"/>
    <n v="7"/>
    <n v="1"/>
    <n v="7"/>
    <x v="1"/>
    <x v="1"/>
    <x v="0"/>
  </r>
  <r>
    <n v="56"/>
    <s v="No"/>
    <s v="Travel_Rarely"/>
    <n v="1443"/>
    <x v="0"/>
    <n v="11"/>
    <n v="5"/>
    <s v="Marketing"/>
    <n v="1"/>
    <n v="1935"/>
    <n v="4"/>
    <x v="0"/>
    <n v="89"/>
    <n v="2"/>
    <n v="2"/>
    <x v="0"/>
    <x v="3"/>
    <s v="Married"/>
    <n v="5380"/>
    <n v="20328"/>
    <n v="4"/>
    <s v="Y"/>
    <s v="No"/>
    <n v="16"/>
    <n v="3"/>
    <n v="3"/>
    <n v="80"/>
    <n v="1"/>
    <n v="6"/>
    <n v="3"/>
    <n v="3"/>
    <n v="0"/>
    <n v="0"/>
    <n v="0"/>
    <n v="0"/>
    <x v="1"/>
    <x v="1"/>
    <x v="1"/>
  </r>
  <r>
    <n v="39"/>
    <s v="No"/>
    <s v="Travel_Rarely"/>
    <n v="867"/>
    <x v="1"/>
    <n v="9"/>
    <n v="2"/>
    <s v="Medical"/>
    <n v="1"/>
    <n v="1936"/>
    <n v="1"/>
    <x v="1"/>
    <n v="87"/>
    <n v="3"/>
    <n v="2"/>
    <x v="3"/>
    <x v="3"/>
    <s v="Married"/>
    <n v="5151"/>
    <n v="12315"/>
    <n v="1"/>
    <s v="Y"/>
    <s v="No"/>
    <n v="25"/>
    <n v="4"/>
    <n v="4"/>
    <n v="80"/>
    <n v="1"/>
    <n v="10"/>
    <n v="3"/>
    <n v="3"/>
    <n v="10"/>
    <n v="0"/>
    <n v="7"/>
    <n v="9"/>
    <x v="1"/>
    <x v="0"/>
    <x v="0"/>
  </r>
  <r>
    <n v="38"/>
    <s v="No"/>
    <s v="Travel_Frequently"/>
    <n v="1394"/>
    <x v="1"/>
    <n v="8"/>
    <n v="3"/>
    <s v="Medical"/>
    <n v="1"/>
    <n v="1937"/>
    <n v="4"/>
    <x v="0"/>
    <n v="58"/>
    <n v="2"/>
    <n v="2"/>
    <x v="1"/>
    <x v="1"/>
    <s v="Divorced"/>
    <n v="2133"/>
    <n v="18115"/>
    <n v="1"/>
    <s v="Y"/>
    <s v="Yes"/>
    <n v="16"/>
    <n v="3"/>
    <n v="3"/>
    <n v="80"/>
    <n v="1"/>
    <n v="20"/>
    <n v="3"/>
    <n v="3"/>
    <n v="20"/>
    <n v="11"/>
    <n v="0"/>
    <n v="7"/>
    <x v="1"/>
    <x v="0"/>
    <x v="3"/>
  </r>
  <r>
    <n v="58"/>
    <s v="No"/>
    <s v="Travel_Rarely"/>
    <n v="605"/>
    <x v="0"/>
    <n v="21"/>
    <n v="3"/>
    <s v="Life Sciences"/>
    <n v="1"/>
    <n v="1938"/>
    <n v="4"/>
    <x v="0"/>
    <n v="72"/>
    <n v="3"/>
    <n v="4"/>
    <x v="5"/>
    <x v="0"/>
    <s v="Married"/>
    <n v="17875"/>
    <n v="11761"/>
    <n v="4"/>
    <s v="Y"/>
    <s v="Yes"/>
    <n v="13"/>
    <n v="3"/>
    <n v="3"/>
    <n v="80"/>
    <n v="1"/>
    <n v="29"/>
    <n v="2"/>
    <n v="2"/>
    <n v="1"/>
    <n v="0"/>
    <n v="0"/>
    <n v="0"/>
    <x v="1"/>
    <x v="1"/>
    <x v="1"/>
  </r>
  <r>
    <n v="32"/>
    <s v="Yes"/>
    <s v="Travel_Frequently"/>
    <n v="238"/>
    <x v="1"/>
    <n v="5"/>
    <n v="2"/>
    <s v="Life Sciences"/>
    <n v="1"/>
    <n v="1939"/>
    <n v="1"/>
    <x v="0"/>
    <n v="47"/>
    <n v="4"/>
    <n v="1"/>
    <x v="1"/>
    <x v="2"/>
    <s v="Single"/>
    <n v="2432"/>
    <n v="15318"/>
    <n v="3"/>
    <s v="Y"/>
    <s v="Yes"/>
    <n v="14"/>
    <n v="3"/>
    <n v="1"/>
    <n v="80"/>
    <n v="0"/>
    <n v="8"/>
    <n v="2"/>
    <n v="3"/>
    <n v="4"/>
    <n v="1"/>
    <n v="0"/>
    <n v="3"/>
    <x v="0"/>
    <x v="2"/>
    <x v="2"/>
  </r>
  <r>
    <n v="38"/>
    <s v="No"/>
    <s v="Travel_Rarely"/>
    <n v="1206"/>
    <x v="1"/>
    <n v="9"/>
    <n v="2"/>
    <s v="Life Sciences"/>
    <n v="1"/>
    <n v="1940"/>
    <n v="2"/>
    <x v="1"/>
    <n v="71"/>
    <n v="3"/>
    <n v="1"/>
    <x v="1"/>
    <x v="0"/>
    <s v="Divorced"/>
    <n v="4771"/>
    <n v="14293"/>
    <n v="2"/>
    <s v="Y"/>
    <s v="No"/>
    <n v="19"/>
    <n v="3"/>
    <n v="4"/>
    <n v="80"/>
    <n v="2"/>
    <n v="10"/>
    <n v="0"/>
    <n v="4"/>
    <n v="5"/>
    <n v="2"/>
    <n v="0"/>
    <n v="3"/>
    <x v="1"/>
    <x v="0"/>
    <x v="2"/>
  </r>
  <r>
    <n v="49"/>
    <s v="No"/>
    <s v="Travel_Frequently"/>
    <n v="1064"/>
    <x v="1"/>
    <n v="2"/>
    <n v="1"/>
    <s v="Life Sciences"/>
    <n v="1"/>
    <n v="1941"/>
    <n v="2"/>
    <x v="1"/>
    <n v="42"/>
    <n v="3"/>
    <n v="5"/>
    <x v="7"/>
    <x v="0"/>
    <s v="Married"/>
    <n v="19161"/>
    <n v="13738"/>
    <n v="3"/>
    <s v="Y"/>
    <s v="No"/>
    <n v="15"/>
    <n v="3"/>
    <n v="4"/>
    <n v="80"/>
    <n v="0"/>
    <n v="28"/>
    <n v="3"/>
    <n v="3"/>
    <n v="5"/>
    <n v="4"/>
    <n v="4"/>
    <n v="3"/>
    <x v="1"/>
    <x v="1"/>
    <x v="2"/>
  </r>
  <r>
    <n v="42"/>
    <s v="No"/>
    <s v="Travel_Rarely"/>
    <n v="419"/>
    <x v="0"/>
    <n v="12"/>
    <n v="4"/>
    <s v="Marketing"/>
    <n v="1"/>
    <n v="1943"/>
    <n v="2"/>
    <x v="1"/>
    <n v="77"/>
    <n v="3"/>
    <n v="2"/>
    <x v="0"/>
    <x v="0"/>
    <s v="Divorced"/>
    <n v="5087"/>
    <n v="2900"/>
    <n v="3"/>
    <s v="Y"/>
    <s v="Yes"/>
    <n v="12"/>
    <n v="3"/>
    <n v="3"/>
    <n v="80"/>
    <n v="2"/>
    <n v="14"/>
    <n v="4"/>
    <n v="3"/>
    <n v="0"/>
    <n v="0"/>
    <n v="0"/>
    <n v="0"/>
    <x v="1"/>
    <x v="0"/>
    <x v="1"/>
  </r>
  <r>
    <n v="27"/>
    <s v="Yes"/>
    <s v="Travel_Frequently"/>
    <n v="1337"/>
    <x v="2"/>
    <n v="22"/>
    <n v="3"/>
    <s v="Human Resources"/>
    <n v="1"/>
    <n v="1944"/>
    <n v="1"/>
    <x v="0"/>
    <n v="58"/>
    <n v="2"/>
    <n v="1"/>
    <x v="8"/>
    <x v="1"/>
    <s v="Married"/>
    <n v="2863"/>
    <n v="19555"/>
    <n v="1"/>
    <s v="Y"/>
    <s v="No"/>
    <n v="12"/>
    <n v="3"/>
    <n v="1"/>
    <n v="80"/>
    <n v="0"/>
    <n v="1"/>
    <n v="2"/>
    <n v="3"/>
    <n v="1"/>
    <n v="0"/>
    <n v="0"/>
    <n v="0"/>
    <x v="0"/>
    <x v="2"/>
    <x v="1"/>
  </r>
  <r>
    <n v="35"/>
    <s v="No"/>
    <s v="Travel_Rarely"/>
    <n v="682"/>
    <x v="0"/>
    <n v="18"/>
    <n v="4"/>
    <s v="Medical"/>
    <n v="1"/>
    <n v="1945"/>
    <n v="2"/>
    <x v="1"/>
    <n v="71"/>
    <n v="3"/>
    <n v="2"/>
    <x v="0"/>
    <x v="3"/>
    <s v="Married"/>
    <n v="5561"/>
    <n v="15975"/>
    <n v="0"/>
    <s v="Y"/>
    <s v="No"/>
    <n v="16"/>
    <n v="3"/>
    <n v="4"/>
    <n v="80"/>
    <n v="1"/>
    <n v="6"/>
    <n v="2"/>
    <n v="1"/>
    <n v="5"/>
    <n v="3"/>
    <n v="0"/>
    <n v="4"/>
    <x v="1"/>
    <x v="2"/>
    <x v="2"/>
  </r>
  <r>
    <n v="28"/>
    <s v="No"/>
    <s v="Non-Travel"/>
    <n v="1103"/>
    <x v="1"/>
    <n v="16"/>
    <n v="3"/>
    <s v="Medical"/>
    <n v="1"/>
    <n v="1947"/>
    <n v="3"/>
    <x v="1"/>
    <n v="49"/>
    <n v="3"/>
    <n v="1"/>
    <x v="1"/>
    <x v="2"/>
    <s v="Single"/>
    <n v="2144"/>
    <n v="2122"/>
    <n v="1"/>
    <s v="Y"/>
    <s v="No"/>
    <n v="14"/>
    <n v="3"/>
    <n v="3"/>
    <n v="80"/>
    <n v="0"/>
    <n v="5"/>
    <n v="3"/>
    <n v="2"/>
    <n v="5"/>
    <n v="3"/>
    <n v="1"/>
    <n v="4"/>
    <x v="1"/>
    <x v="2"/>
    <x v="2"/>
  </r>
  <r>
    <n v="31"/>
    <s v="No"/>
    <s v="Non-Travel"/>
    <n v="976"/>
    <x v="1"/>
    <n v="3"/>
    <n v="2"/>
    <s v="Medical"/>
    <n v="1"/>
    <n v="1948"/>
    <n v="3"/>
    <x v="1"/>
    <n v="48"/>
    <n v="3"/>
    <n v="1"/>
    <x v="1"/>
    <x v="3"/>
    <s v="Divorced"/>
    <n v="3065"/>
    <n v="3995"/>
    <n v="1"/>
    <s v="Y"/>
    <s v="Yes"/>
    <n v="13"/>
    <n v="3"/>
    <n v="4"/>
    <n v="80"/>
    <n v="1"/>
    <n v="4"/>
    <n v="3"/>
    <n v="4"/>
    <n v="4"/>
    <n v="2"/>
    <n v="2"/>
    <n v="3"/>
    <x v="1"/>
    <x v="2"/>
    <x v="2"/>
  </r>
  <r>
    <n v="36"/>
    <s v="No"/>
    <s v="Non-Travel"/>
    <n v="1351"/>
    <x v="1"/>
    <n v="9"/>
    <n v="4"/>
    <s v="Life Sciences"/>
    <n v="1"/>
    <n v="1949"/>
    <n v="1"/>
    <x v="1"/>
    <n v="66"/>
    <n v="4"/>
    <n v="1"/>
    <x v="2"/>
    <x v="1"/>
    <s v="Married"/>
    <n v="2810"/>
    <n v="9238"/>
    <n v="1"/>
    <s v="Y"/>
    <s v="No"/>
    <n v="22"/>
    <n v="4"/>
    <n v="2"/>
    <n v="80"/>
    <n v="0"/>
    <n v="5"/>
    <n v="3"/>
    <n v="3"/>
    <n v="5"/>
    <n v="4"/>
    <n v="0"/>
    <n v="2"/>
    <x v="1"/>
    <x v="0"/>
    <x v="2"/>
  </r>
  <r>
    <n v="34"/>
    <s v="No"/>
    <s v="Travel_Rarely"/>
    <n v="937"/>
    <x v="0"/>
    <n v="1"/>
    <n v="3"/>
    <s v="Marketing"/>
    <n v="1"/>
    <n v="1950"/>
    <n v="1"/>
    <x v="1"/>
    <n v="32"/>
    <n v="3"/>
    <n v="3"/>
    <x v="0"/>
    <x v="0"/>
    <s v="Single"/>
    <n v="9888"/>
    <n v="6770"/>
    <n v="1"/>
    <s v="Y"/>
    <s v="No"/>
    <n v="21"/>
    <n v="4"/>
    <n v="1"/>
    <n v="80"/>
    <n v="0"/>
    <n v="14"/>
    <n v="3"/>
    <n v="2"/>
    <n v="14"/>
    <n v="8"/>
    <n v="2"/>
    <n v="1"/>
    <x v="1"/>
    <x v="2"/>
    <x v="3"/>
  </r>
  <r>
    <n v="34"/>
    <s v="No"/>
    <s v="Travel_Rarely"/>
    <n v="1239"/>
    <x v="0"/>
    <n v="13"/>
    <n v="4"/>
    <s v="Medical"/>
    <n v="1"/>
    <n v="1951"/>
    <n v="4"/>
    <x v="1"/>
    <n v="39"/>
    <n v="3"/>
    <n v="3"/>
    <x v="0"/>
    <x v="2"/>
    <s v="Divorced"/>
    <n v="8628"/>
    <n v="22914"/>
    <n v="1"/>
    <s v="Y"/>
    <s v="No"/>
    <n v="18"/>
    <n v="3"/>
    <n v="3"/>
    <n v="80"/>
    <n v="1"/>
    <n v="9"/>
    <n v="2"/>
    <n v="2"/>
    <n v="8"/>
    <n v="7"/>
    <n v="1"/>
    <n v="1"/>
    <x v="1"/>
    <x v="2"/>
    <x v="0"/>
  </r>
  <r>
    <n v="26"/>
    <s v="No"/>
    <s v="Travel_Rarely"/>
    <n v="157"/>
    <x v="1"/>
    <n v="1"/>
    <n v="3"/>
    <s v="Medical"/>
    <n v="1"/>
    <n v="1952"/>
    <n v="3"/>
    <x v="1"/>
    <n v="95"/>
    <n v="3"/>
    <n v="1"/>
    <x v="2"/>
    <x v="3"/>
    <s v="Single"/>
    <n v="2867"/>
    <n v="20006"/>
    <n v="0"/>
    <s v="Y"/>
    <s v="No"/>
    <n v="13"/>
    <n v="3"/>
    <n v="4"/>
    <n v="80"/>
    <n v="0"/>
    <n v="8"/>
    <n v="6"/>
    <n v="2"/>
    <n v="7"/>
    <n v="7"/>
    <n v="7"/>
    <n v="6"/>
    <x v="1"/>
    <x v="2"/>
    <x v="0"/>
  </r>
  <r>
    <n v="29"/>
    <s v="No"/>
    <s v="Travel_Rarely"/>
    <n v="136"/>
    <x v="1"/>
    <n v="1"/>
    <n v="3"/>
    <s v="Life Sciences"/>
    <n v="1"/>
    <n v="1954"/>
    <n v="1"/>
    <x v="1"/>
    <n v="89"/>
    <n v="3"/>
    <n v="2"/>
    <x v="4"/>
    <x v="3"/>
    <s v="Married"/>
    <n v="5373"/>
    <n v="6225"/>
    <n v="0"/>
    <s v="Y"/>
    <s v="No"/>
    <n v="12"/>
    <n v="3"/>
    <n v="1"/>
    <n v="80"/>
    <n v="1"/>
    <n v="6"/>
    <n v="5"/>
    <n v="2"/>
    <n v="5"/>
    <n v="3"/>
    <n v="0"/>
    <n v="2"/>
    <x v="1"/>
    <x v="2"/>
    <x v="2"/>
  </r>
  <r>
    <n v="32"/>
    <s v="No"/>
    <s v="Non-Travel"/>
    <n v="1146"/>
    <x v="1"/>
    <n v="15"/>
    <n v="4"/>
    <s v="Medical"/>
    <n v="1"/>
    <n v="1955"/>
    <n v="3"/>
    <x v="0"/>
    <n v="34"/>
    <n v="3"/>
    <n v="2"/>
    <x v="4"/>
    <x v="0"/>
    <s v="Divorced"/>
    <n v="6667"/>
    <n v="16542"/>
    <n v="5"/>
    <s v="Y"/>
    <s v="No"/>
    <n v="18"/>
    <n v="3"/>
    <n v="2"/>
    <n v="80"/>
    <n v="1"/>
    <n v="9"/>
    <n v="6"/>
    <n v="3"/>
    <n v="5"/>
    <n v="1"/>
    <n v="1"/>
    <n v="2"/>
    <x v="1"/>
    <x v="2"/>
    <x v="2"/>
  </r>
  <r>
    <n v="31"/>
    <s v="No"/>
    <s v="Travel_Frequently"/>
    <n v="1125"/>
    <x v="1"/>
    <n v="1"/>
    <n v="3"/>
    <s v="Life Sciences"/>
    <n v="1"/>
    <n v="1956"/>
    <n v="4"/>
    <x v="1"/>
    <n v="48"/>
    <n v="1"/>
    <n v="2"/>
    <x v="1"/>
    <x v="3"/>
    <s v="Married"/>
    <n v="5003"/>
    <n v="5771"/>
    <n v="1"/>
    <s v="Y"/>
    <s v="No"/>
    <n v="21"/>
    <n v="4"/>
    <n v="2"/>
    <n v="80"/>
    <n v="0"/>
    <n v="10"/>
    <n v="6"/>
    <n v="3"/>
    <n v="10"/>
    <n v="8"/>
    <n v="8"/>
    <n v="7"/>
    <x v="1"/>
    <x v="2"/>
    <x v="0"/>
  </r>
  <r>
    <n v="28"/>
    <s v="Yes"/>
    <s v="Travel_Rarely"/>
    <n v="1404"/>
    <x v="1"/>
    <n v="17"/>
    <n v="3"/>
    <s v="Technical Degree"/>
    <n v="1"/>
    <n v="1960"/>
    <n v="3"/>
    <x v="1"/>
    <n v="32"/>
    <n v="2"/>
    <n v="1"/>
    <x v="2"/>
    <x v="0"/>
    <s v="Divorced"/>
    <n v="2367"/>
    <n v="18779"/>
    <n v="5"/>
    <s v="Y"/>
    <s v="No"/>
    <n v="12"/>
    <n v="3"/>
    <n v="1"/>
    <n v="80"/>
    <n v="1"/>
    <n v="6"/>
    <n v="2"/>
    <n v="2"/>
    <n v="4"/>
    <n v="1"/>
    <n v="0"/>
    <n v="3"/>
    <x v="0"/>
    <x v="2"/>
    <x v="2"/>
  </r>
  <r>
    <n v="38"/>
    <s v="No"/>
    <s v="Travel_Rarely"/>
    <n v="1404"/>
    <x v="0"/>
    <n v="1"/>
    <n v="3"/>
    <s v="Life Sciences"/>
    <n v="1"/>
    <n v="1961"/>
    <n v="1"/>
    <x v="1"/>
    <n v="59"/>
    <n v="2"/>
    <n v="1"/>
    <x v="6"/>
    <x v="3"/>
    <s v="Single"/>
    <n v="2858"/>
    <n v="11473"/>
    <n v="4"/>
    <s v="Y"/>
    <s v="No"/>
    <n v="14"/>
    <n v="3"/>
    <n v="1"/>
    <n v="80"/>
    <n v="0"/>
    <n v="20"/>
    <n v="3"/>
    <n v="2"/>
    <n v="1"/>
    <n v="0"/>
    <n v="0"/>
    <n v="0"/>
    <x v="1"/>
    <x v="0"/>
    <x v="1"/>
  </r>
  <r>
    <n v="35"/>
    <s v="No"/>
    <s v="Travel_Rarely"/>
    <n v="1224"/>
    <x v="0"/>
    <n v="7"/>
    <n v="4"/>
    <s v="Life Sciences"/>
    <n v="1"/>
    <n v="1962"/>
    <n v="3"/>
    <x v="0"/>
    <n v="55"/>
    <n v="3"/>
    <n v="2"/>
    <x v="0"/>
    <x v="0"/>
    <s v="Married"/>
    <n v="5204"/>
    <n v="13586"/>
    <n v="1"/>
    <s v="Y"/>
    <s v="Yes"/>
    <n v="11"/>
    <n v="3"/>
    <n v="4"/>
    <n v="80"/>
    <n v="0"/>
    <n v="10"/>
    <n v="2"/>
    <n v="3"/>
    <n v="10"/>
    <n v="8"/>
    <n v="0"/>
    <n v="9"/>
    <x v="1"/>
    <x v="2"/>
    <x v="0"/>
  </r>
  <r>
    <n v="27"/>
    <s v="No"/>
    <s v="Travel_Rarely"/>
    <n v="954"/>
    <x v="0"/>
    <n v="9"/>
    <n v="3"/>
    <s v="Marketing"/>
    <n v="1"/>
    <n v="1965"/>
    <n v="4"/>
    <x v="1"/>
    <n v="44"/>
    <n v="3"/>
    <n v="2"/>
    <x v="0"/>
    <x v="0"/>
    <s v="Single"/>
    <n v="4105"/>
    <n v="5099"/>
    <n v="1"/>
    <s v="Y"/>
    <s v="No"/>
    <n v="14"/>
    <n v="3"/>
    <n v="1"/>
    <n v="80"/>
    <n v="0"/>
    <n v="7"/>
    <n v="5"/>
    <n v="3"/>
    <n v="7"/>
    <n v="7"/>
    <n v="0"/>
    <n v="7"/>
    <x v="1"/>
    <x v="2"/>
    <x v="0"/>
  </r>
  <r>
    <n v="32"/>
    <s v="No"/>
    <s v="Travel_Rarely"/>
    <n v="1373"/>
    <x v="1"/>
    <n v="5"/>
    <n v="4"/>
    <s v="Life Sciences"/>
    <n v="1"/>
    <n v="1966"/>
    <n v="4"/>
    <x v="1"/>
    <n v="56"/>
    <n v="2"/>
    <n v="2"/>
    <x v="3"/>
    <x v="0"/>
    <s v="Single"/>
    <n v="9679"/>
    <n v="10138"/>
    <n v="8"/>
    <s v="Y"/>
    <s v="No"/>
    <n v="24"/>
    <n v="4"/>
    <n v="2"/>
    <n v="80"/>
    <n v="0"/>
    <n v="8"/>
    <n v="1"/>
    <n v="3"/>
    <n v="1"/>
    <n v="0"/>
    <n v="0"/>
    <n v="0"/>
    <x v="1"/>
    <x v="2"/>
    <x v="1"/>
  </r>
  <r>
    <n v="31"/>
    <s v="Yes"/>
    <s v="Travel_Frequently"/>
    <n v="754"/>
    <x v="0"/>
    <n v="26"/>
    <n v="4"/>
    <s v="Marketing"/>
    <n v="1"/>
    <n v="1967"/>
    <n v="1"/>
    <x v="1"/>
    <n v="63"/>
    <n v="3"/>
    <n v="2"/>
    <x v="0"/>
    <x v="0"/>
    <s v="Married"/>
    <n v="5617"/>
    <n v="21075"/>
    <n v="1"/>
    <s v="Y"/>
    <s v="Yes"/>
    <n v="11"/>
    <n v="3"/>
    <n v="3"/>
    <n v="80"/>
    <n v="0"/>
    <n v="10"/>
    <n v="4"/>
    <n v="3"/>
    <n v="10"/>
    <n v="7"/>
    <n v="0"/>
    <n v="8"/>
    <x v="0"/>
    <x v="2"/>
    <x v="0"/>
  </r>
  <r>
    <n v="53"/>
    <s v="Yes"/>
    <s v="Travel_Rarely"/>
    <n v="1168"/>
    <x v="0"/>
    <n v="24"/>
    <n v="4"/>
    <s v="Life Sciences"/>
    <n v="1"/>
    <n v="1968"/>
    <n v="1"/>
    <x v="1"/>
    <n v="66"/>
    <n v="3"/>
    <n v="3"/>
    <x v="0"/>
    <x v="3"/>
    <s v="Single"/>
    <n v="10448"/>
    <n v="5843"/>
    <n v="6"/>
    <s v="Y"/>
    <s v="Yes"/>
    <n v="13"/>
    <n v="3"/>
    <n v="2"/>
    <n v="80"/>
    <n v="0"/>
    <n v="15"/>
    <n v="2"/>
    <n v="2"/>
    <n v="2"/>
    <n v="2"/>
    <n v="2"/>
    <n v="2"/>
    <x v="0"/>
    <x v="1"/>
    <x v="1"/>
  </r>
  <r>
    <n v="54"/>
    <s v="No"/>
    <s v="Travel_Rarely"/>
    <n v="155"/>
    <x v="1"/>
    <n v="9"/>
    <n v="2"/>
    <s v="Life Sciences"/>
    <n v="1"/>
    <n v="1969"/>
    <n v="1"/>
    <x v="0"/>
    <n v="67"/>
    <n v="3"/>
    <n v="2"/>
    <x v="1"/>
    <x v="2"/>
    <s v="Married"/>
    <n v="2897"/>
    <n v="22474"/>
    <n v="3"/>
    <s v="Y"/>
    <s v="No"/>
    <n v="11"/>
    <n v="3"/>
    <n v="3"/>
    <n v="80"/>
    <n v="2"/>
    <n v="9"/>
    <n v="6"/>
    <n v="2"/>
    <n v="4"/>
    <n v="3"/>
    <n v="2"/>
    <n v="3"/>
    <x v="1"/>
    <x v="1"/>
    <x v="2"/>
  </r>
  <r>
    <n v="33"/>
    <s v="No"/>
    <s v="Travel_Frequently"/>
    <n v="1303"/>
    <x v="1"/>
    <n v="7"/>
    <n v="2"/>
    <s v="Life Sciences"/>
    <n v="1"/>
    <n v="1970"/>
    <n v="4"/>
    <x v="1"/>
    <n v="36"/>
    <n v="3"/>
    <n v="2"/>
    <x v="4"/>
    <x v="2"/>
    <s v="Divorced"/>
    <n v="5968"/>
    <n v="18079"/>
    <n v="1"/>
    <s v="Y"/>
    <s v="No"/>
    <n v="20"/>
    <n v="4"/>
    <n v="3"/>
    <n v="80"/>
    <n v="3"/>
    <n v="9"/>
    <n v="2"/>
    <n v="3"/>
    <n v="9"/>
    <n v="7"/>
    <n v="2"/>
    <n v="8"/>
    <x v="1"/>
    <x v="2"/>
    <x v="0"/>
  </r>
  <r>
    <n v="43"/>
    <s v="No"/>
    <s v="Travel_Rarely"/>
    <n v="574"/>
    <x v="1"/>
    <n v="11"/>
    <n v="3"/>
    <s v="Life Sciences"/>
    <n v="1"/>
    <n v="1971"/>
    <n v="1"/>
    <x v="1"/>
    <n v="30"/>
    <n v="3"/>
    <n v="3"/>
    <x v="4"/>
    <x v="2"/>
    <s v="Married"/>
    <n v="7510"/>
    <n v="16873"/>
    <n v="1"/>
    <s v="Y"/>
    <s v="No"/>
    <n v="17"/>
    <n v="3"/>
    <n v="2"/>
    <n v="80"/>
    <n v="1"/>
    <n v="10"/>
    <n v="1"/>
    <n v="3"/>
    <n v="10"/>
    <n v="9"/>
    <n v="0"/>
    <n v="9"/>
    <x v="1"/>
    <x v="0"/>
    <x v="0"/>
  </r>
  <r>
    <n v="38"/>
    <s v="No"/>
    <s v="Travel_Frequently"/>
    <n v="1444"/>
    <x v="2"/>
    <n v="1"/>
    <n v="4"/>
    <s v="Other"/>
    <n v="1"/>
    <n v="1972"/>
    <n v="4"/>
    <x v="1"/>
    <n v="88"/>
    <n v="3"/>
    <n v="1"/>
    <x v="8"/>
    <x v="1"/>
    <s v="Married"/>
    <n v="2991"/>
    <n v="5224"/>
    <n v="0"/>
    <s v="Y"/>
    <s v="Yes"/>
    <n v="11"/>
    <n v="3"/>
    <n v="2"/>
    <n v="80"/>
    <n v="1"/>
    <n v="7"/>
    <n v="2"/>
    <n v="3"/>
    <n v="6"/>
    <n v="2"/>
    <n v="1"/>
    <n v="2"/>
    <x v="1"/>
    <x v="0"/>
    <x v="0"/>
  </r>
  <r>
    <n v="55"/>
    <s v="No"/>
    <s v="Travel_Rarely"/>
    <n v="189"/>
    <x v="2"/>
    <n v="26"/>
    <n v="4"/>
    <s v="Human Resources"/>
    <n v="1"/>
    <n v="1973"/>
    <n v="3"/>
    <x v="1"/>
    <n v="71"/>
    <n v="4"/>
    <n v="5"/>
    <x v="5"/>
    <x v="1"/>
    <s v="Married"/>
    <n v="19636"/>
    <n v="25811"/>
    <n v="4"/>
    <s v="Y"/>
    <s v="Yes"/>
    <n v="18"/>
    <n v="3"/>
    <n v="1"/>
    <n v="80"/>
    <n v="1"/>
    <n v="35"/>
    <n v="0"/>
    <n v="3"/>
    <n v="10"/>
    <n v="9"/>
    <n v="1"/>
    <n v="4"/>
    <x v="1"/>
    <x v="1"/>
    <x v="0"/>
  </r>
  <r>
    <n v="31"/>
    <s v="No"/>
    <s v="Travel_Rarely"/>
    <n v="1276"/>
    <x v="1"/>
    <n v="2"/>
    <n v="1"/>
    <s v="Medical"/>
    <n v="1"/>
    <n v="1974"/>
    <n v="4"/>
    <x v="0"/>
    <n v="59"/>
    <n v="1"/>
    <n v="1"/>
    <x v="2"/>
    <x v="0"/>
    <s v="Divorced"/>
    <n v="1129"/>
    <n v="17536"/>
    <n v="1"/>
    <s v="Y"/>
    <s v="Yes"/>
    <n v="11"/>
    <n v="3"/>
    <n v="3"/>
    <n v="80"/>
    <n v="3"/>
    <n v="1"/>
    <n v="4"/>
    <n v="3"/>
    <n v="1"/>
    <n v="0"/>
    <n v="0"/>
    <n v="0"/>
    <x v="1"/>
    <x v="2"/>
    <x v="1"/>
  </r>
  <r>
    <n v="39"/>
    <s v="No"/>
    <s v="Travel_Rarely"/>
    <n v="119"/>
    <x v="0"/>
    <n v="15"/>
    <n v="4"/>
    <s v="Marketing"/>
    <n v="1"/>
    <n v="1975"/>
    <n v="2"/>
    <x v="1"/>
    <n v="77"/>
    <n v="3"/>
    <n v="4"/>
    <x v="0"/>
    <x v="3"/>
    <s v="Single"/>
    <n v="13341"/>
    <n v="25098"/>
    <n v="0"/>
    <s v="Y"/>
    <s v="No"/>
    <n v="12"/>
    <n v="3"/>
    <n v="1"/>
    <n v="80"/>
    <n v="0"/>
    <n v="21"/>
    <n v="3"/>
    <n v="3"/>
    <n v="20"/>
    <n v="8"/>
    <n v="11"/>
    <n v="10"/>
    <x v="1"/>
    <x v="0"/>
    <x v="3"/>
  </r>
  <r>
    <n v="42"/>
    <s v="No"/>
    <s v="Non-Travel"/>
    <n v="335"/>
    <x v="1"/>
    <n v="23"/>
    <n v="2"/>
    <s v="Life Sciences"/>
    <n v="1"/>
    <n v="1976"/>
    <n v="4"/>
    <x v="1"/>
    <n v="37"/>
    <n v="2"/>
    <n v="2"/>
    <x v="1"/>
    <x v="2"/>
    <s v="Single"/>
    <n v="4332"/>
    <n v="14811"/>
    <n v="1"/>
    <s v="Y"/>
    <s v="No"/>
    <n v="12"/>
    <n v="3"/>
    <n v="4"/>
    <n v="80"/>
    <n v="0"/>
    <n v="20"/>
    <n v="2"/>
    <n v="3"/>
    <n v="20"/>
    <n v="9"/>
    <n v="3"/>
    <n v="7"/>
    <x v="1"/>
    <x v="0"/>
    <x v="3"/>
  </r>
  <r>
    <n v="31"/>
    <s v="No"/>
    <s v="Non-Travel"/>
    <n v="697"/>
    <x v="1"/>
    <n v="10"/>
    <n v="3"/>
    <s v="Medical"/>
    <n v="1"/>
    <n v="1979"/>
    <n v="3"/>
    <x v="0"/>
    <n v="40"/>
    <n v="3"/>
    <n v="3"/>
    <x v="7"/>
    <x v="2"/>
    <s v="Married"/>
    <n v="11031"/>
    <n v="26862"/>
    <n v="4"/>
    <s v="Y"/>
    <s v="No"/>
    <n v="20"/>
    <n v="4"/>
    <n v="3"/>
    <n v="80"/>
    <n v="1"/>
    <n v="13"/>
    <n v="2"/>
    <n v="4"/>
    <n v="11"/>
    <n v="7"/>
    <n v="4"/>
    <n v="8"/>
    <x v="1"/>
    <x v="2"/>
    <x v="3"/>
  </r>
  <r>
    <n v="54"/>
    <s v="No"/>
    <s v="Travel_Rarely"/>
    <n v="157"/>
    <x v="1"/>
    <n v="10"/>
    <n v="3"/>
    <s v="Medical"/>
    <n v="1"/>
    <n v="1980"/>
    <n v="3"/>
    <x v="0"/>
    <n v="77"/>
    <n v="3"/>
    <n v="2"/>
    <x v="3"/>
    <x v="3"/>
    <s v="Single"/>
    <n v="4440"/>
    <n v="25198"/>
    <n v="6"/>
    <s v="Y"/>
    <s v="Yes"/>
    <n v="19"/>
    <n v="3"/>
    <n v="4"/>
    <n v="80"/>
    <n v="0"/>
    <n v="9"/>
    <n v="3"/>
    <n v="3"/>
    <n v="5"/>
    <n v="2"/>
    <n v="1"/>
    <n v="4"/>
    <x v="1"/>
    <x v="1"/>
    <x v="2"/>
  </r>
  <r>
    <n v="24"/>
    <s v="No"/>
    <s v="Travel_Rarely"/>
    <n v="771"/>
    <x v="1"/>
    <n v="1"/>
    <n v="2"/>
    <s v="Life Sciences"/>
    <n v="1"/>
    <n v="1981"/>
    <n v="2"/>
    <x v="1"/>
    <n v="45"/>
    <n v="2"/>
    <n v="2"/>
    <x v="4"/>
    <x v="2"/>
    <s v="Single"/>
    <n v="4617"/>
    <n v="14120"/>
    <n v="1"/>
    <s v="Y"/>
    <s v="No"/>
    <n v="12"/>
    <n v="3"/>
    <n v="2"/>
    <n v="80"/>
    <n v="0"/>
    <n v="4"/>
    <n v="2"/>
    <n v="2"/>
    <n v="4"/>
    <n v="3"/>
    <n v="1"/>
    <n v="2"/>
    <x v="1"/>
    <x v="3"/>
    <x v="2"/>
  </r>
  <r>
    <n v="23"/>
    <s v="No"/>
    <s v="Travel_Rarely"/>
    <n v="571"/>
    <x v="1"/>
    <n v="12"/>
    <n v="2"/>
    <s v="Other"/>
    <n v="1"/>
    <n v="1982"/>
    <n v="4"/>
    <x v="1"/>
    <n v="78"/>
    <n v="3"/>
    <n v="1"/>
    <x v="2"/>
    <x v="0"/>
    <s v="Single"/>
    <n v="2647"/>
    <n v="13672"/>
    <n v="1"/>
    <s v="Y"/>
    <s v="No"/>
    <n v="13"/>
    <n v="3"/>
    <n v="3"/>
    <n v="80"/>
    <n v="0"/>
    <n v="5"/>
    <n v="6"/>
    <n v="4"/>
    <n v="5"/>
    <n v="2"/>
    <n v="1"/>
    <n v="4"/>
    <x v="1"/>
    <x v="3"/>
    <x v="2"/>
  </r>
  <r>
    <n v="40"/>
    <s v="No"/>
    <s v="Travel_Frequently"/>
    <n v="692"/>
    <x v="1"/>
    <n v="11"/>
    <n v="3"/>
    <s v="Technical Degree"/>
    <n v="1"/>
    <n v="1985"/>
    <n v="4"/>
    <x v="0"/>
    <n v="73"/>
    <n v="3"/>
    <n v="2"/>
    <x v="2"/>
    <x v="2"/>
    <s v="Married"/>
    <n v="6323"/>
    <n v="26849"/>
    <n v="1"/>
    <s v="Y"/>
    <s v="No"/>
    <n v="11"/>
    <n v="3"/>
    <n v="1"/>
    <n v="80"/>
    <n v="1"/>
    <n v="10"/>
    <n v="2"/>
    <n v="4"/>
    <n v="10"/>
    <n v="9"/>
    <n v="9"/>
    <n v="4"/>
    <x v="1"/>
    <x v="0"/>
    <x v="0"/>
  </r>
  <r>
    <n v="40"/>
    <s v="No"/>
    <s v="Travel_Rarely"/>
    <n v="444"/>
    <x v="0"/>
    <n v="2"/>
    <n v="2"/>
    <s v="Marketing"/>
    <n v="1"/>
    <n v="1986"/>
    <n v="2"/>
    <x v="0"/>
    <n v="92"/>
    <n v="3"/>
    <n v="2"/>
    <x v="0"/>
    <x v="1"/>
    <s v="Married"/>
    <n v="5677"/>
    <n v="4258"/>
    <n v="3"/>
    <s v="Y"/>
    <s v="No"/>
    <n v="14"/>
    <n v="3"/>
    <n v="3"/>
    <n v="80"/>
    <n v="1"/>
    <n v="15"/>
    <n v="4"/>
    <n v="3"/>
    <n v="11"/>
    <n v="8"/>
    <n v="5"/>
    <n v="10"/>
    <x v="1"/>
    <x v="0"/>
    <x v="3"/>
  </r>
  <r>
    <n v="25"/>
    <s v="No"/>
    <s v="Travel_Rarely"/>
    <n v="309"/>
    <x v="2"/>
    <n v="2"/>
    <n v="3"/>
    <s v="Human Resources"/>
    <n v="1"/>
    <n v="1987"/>
    <n v="3"/>
    <x v="0"/>
    <n v="82"/>
    <n v="3"/>
    <n v="1"/>
    <x v="8"/>
    <x v="1"/>
    <s v="Married"/>
    <n v="2187"/>
    <n v="19655"/>
    <n v="4"/>
    <s v="Y"/>
    <s v="No"/>
    <n v="14"/>
    <n v="3"/>
    <n v="3"/>
    <n v="80"/>
    <n v="0"/>
    <n v="6"/>
    <n v="3"/>
    <n v="3"/>
    <n v="2"/>
    <n v="0"/>
    <n v="1"/>
    <n v="2"/>
    <x v="1"/>
    <x v="3"/>
    <x v="1"/>
  </r>
  <r>
    <n v="30"/>
    <s v="No"/>
    <s v="Travel_Rarely"/>
    <n v="911"/>
    <x v="1"/>
    <n v="1"/>
    <n v="2"/>
    <s v="Medical"/>
    <n v="1"/>
    <n v="1989"/>
    <n v="4"/>
    <x v="1"/>
    <n v="76"/>
    <n v="3"/>
    <n v="1"/>
    <x v="2"/>
    <x v="1"/>
    <s v="Married"/>
    <n v="3748"/>
    <n v="4077"/>
    <n v="1"/>
    <s v="Y"/>
    <s v="No"/>
    <n v="13"/>
    <n v="3"/>
    <n v="3"/>
    <n v="80"/>
    <n v="0"/>
    <n v="12"/>
    <n v="6"/>
    <n v="2"/>
    <n v="12"/>
    <n v="8"/>
    <n v="1"/>
    <n v="7"/>
    <x v="1"/>
    <x v="2"/>
    <x v="3"/>
  </r>
  <r>
    <n v="25"/>
    <s v="No"/>
    <s v="Travel_Rarely"/>
    <n v="977"/>
    <x v="1"/>
    <n v="2"/>
    <n v="1"/>
    <s v="Other"/>
    <n v="1"/>
    <n v="1992"/>
    <n v="4"/>
    <x v="1"/>
    <n v="57"/>
    <n v="3"/>
    <n v="1"/>
    <x v="2"/>
    <x v="2"/>
    <s v="Divorced"/>
    <n v="3977"/>
    <n v="7298"/>
    <n v="6"/>
    <s v="Y"/>
    <s v="Yes"/>
    <n v="19"/>
    <n v="3"/>
    <n v="3"/>
    <n v="80"/>
    <n v="1"/>
    <n v="7"/>
    <n v="2"/>
    <n v="2"/>
    <n v="2"/>
    <n v="2"/>
    <n v="0"/>
    <n v="2"/>
    <x v="1"/>
    <x v="3"/>
    <x v="1"/>
  </r>
  <r>
    <n v="47"/>
    <s v="No"/>
    <s v="Travel_Rarely"/>
    <n v="1180"/>
    <x v="1"/>
    <n v="25"/>
    <n v="3"/>
    <s v="Medical"/>
    <n v="1"/>
    <n v="1993"/>
    <n v="1"/>
    <x v="1"/>
    <n v="84"/>
    <n v="3"/>
    <n v="3"/>
    <x v="4"/>
    <x v="2"/>
    <s v="Single"/>
    <n v="8633"/>
    <n v="13084"/>
    <n v="2"/>
    <s v="Y"/>
    <s v="No"/>
    <n v="23"/>
    <n v="4"/>
    <n v="2"/>
    <n v="80"/>
    <n v="0"/>
    <n v="25"/>
    <n v="3"/>
    <n v="3"/>
    <n v="17"/>
    <n v="14"/>
    <n v="12"/>
    <n v="11"/>
    <x v="1"/>
    <x v="1"/>
    <x v="3"/>
  </r>
  <r>
    <n v="33"/>
    <s v="No"/>
    <s v="Non-Travel"/>
    <n v="1313"/>
    <x v="1"/>
    <n v="1"/>
    <n v="2"/>
    <s v="Medical"/>
    <n v="1"/>
    <n v="1994"/>
    <n v="2"/>
    <x v="1"/>
    <n v="59"/>
    <n v="2"/>
    <n v="1"/>
    <x v="2"/>
    <x v="2"/>
    <s v="Divorced"/>
    <n v="2008"/>
    <n v="20439"/>
    <n v="1"/>
    <s v="Y"/>
    <s v="No"/>
    <n v="12"/>
    <n v="3"/>
    <n v="3"/>
    <n v="80"/>
    <n v="3"/>
    <n v="1"/>
    <n v="2"/>
    <n v="2"/>
    <n v="1"/>
    <n v="1"/>
    <n v="0"/>
    <n v="0"/>
    <x v="1"/>
    <x v="2"/>
    <x v="1"/>
  </r>
  <r>
    <n v="38"/>
    <s v="No"/>
    <s v="Travel_Rarely"/>
    <n v="1321"/>
    <x v="0"/>
    <n v="1"/>
    <n v="4"/>
    <s v="Life Sciences"/>
    <n v="1"/>
    <n v="1995"/>
    <n v="4"/>
    <x v="1"/>
    <n v="86"/>
    <n v="3"/>
    <n v="2"/>
    <x v="0"/>
    <x v="1"/>
    <s v="Married"/>
    <n v="4440"/>
    <n v="7636"/>
    <n v="0"/>
    <s v="Y"/>
    <s v="No"/>
    <n v="15"/>
    <n v="3"/>
    <n v="1"/>
    <n v="80"/>
    <n v="2"/>
    <n v="16"/>
    <n v="3"/>
    <n v="3"/>
    <n v="15"/>
    <n v="13"/>
    <n v="5"/>
    <n v="8"/>
    <x v="1"/>
    <x v="0"/>
    <x v="3"/>
  </r>
  <r>
    <n v="31"/>
    <s v="No"/>
    <s v="Travel_Rarely"/>
    <n v="1154"/>
    <x v="0"/>
    <n v="2"/>
    <n v="2"/>
    <s v="Life Sciences"/>
    <n v="1"/>
    <n v="1996"/>
    <n v="1"/>
    <x v="1"/>
    <n v="54"/>
    <n v="3"/>
    <n v="1"/>
    <x v="6"/>
    <x v="2"/>
    <s v="Married"/>
    <n v="3067"/>
    <n v="6393"/>
    <n v="0"/>
    <s v="Y"/>
    <s v="No"/>
    <n v="19"/>
    <n v="3"/>
    <n v="3"/>
    <n v="80"/>
    <n v="1"/>
    <n v="3"/>
    <n v="1"/>
    <n v="3"/>
    <n v="2"/>
    <n v="2"/>
    <n v="1"/>
    <n v="2"/>
    <x v="1"/>
    <x v="2"/>
    <x v="1"/>
  </r>
  <r>
    <n v="38"/>
    <s v="No"/>
    <s v="Travel_Frequently"/>
    <n v="508"/>
    <x v="1"/>
    <n v="6"/>
    <n v="4"/>
    <s v="Life Sciences"/>
    <n v="1"/>
    <n v="1997"/>
    <n v="1"/>
    <x v="1"/>
    <n v="72"/>
    <n v="2"/>
    <n v="2"/>
    <x v="3"/>
    <x v="2"/>
    <s v="Married"/>
    <n v="5321"/>
    <n v="14284"/>
    <n v="2"/>
    <s v="Y"/>
    <s v="No"/>
    <n v="11"/>
    <n v="3"/>
    <n v="4"/>
    <n v="80"/>
    <n v="1"/>
    <n v="10"/>
    <n v="1"/>
    <n v="3"/>
    <n v="8"/>
    <n v="3"/>
    <n v="7"/>
    <n v="7"/>
    <x v="1"/>
    <x v="0"/>
    <x v="0"/>
  </r>
  <r>
    <n v="42"/>
    <s v="No"/>
    <s v="Travel_Rarely"/>
    <n v="557"/>
    <x v="1"/>
    <n v="18"/>
    <n v="4"/>
    <s v="Life Sciences"/>
    <n v="1"/>
    <n v="1998"/>
    <n v="4"/>
    <x v="1"/>
    <n v="35"/>
    <n v="3"/>
    <n v="2"/>
    <x v="1"/>
    <x v="3"/>
    <s v="Divorced"/>
    <n v="5410"/>
    <n v="11189"/>
    <n v="6"/>
    <s v="Y"/>
    <s v="Yes"/>
    <n v="17"/>
    <n v="3"/>
    <n v="3"/>
    <n v="80"/>
    <n v="1"/>
    <n v="9"/>
    <n v="3"/>
    <n v="2"/>
    <n v="4"/>
    <n v="3"/>
    <n v="1"/>
    <n v="2"/>
    <x v="1"/>
    <x v="0"/>
    <x v="2"/>
  </r>
  <r>
    <n v="41"/>
    <s v="No"/>
    <s v="Travel_Rarely"/>
    <n v="642"/>
    <x v="1"/>
    <n v="1"/>
    <n v="3"/>
    <s v="Life Sciences"/>
    <n v="1"/>
    <n v="1999"/>
    <n v="4"/>
    <x v="1"/>
    <n v="76"/>
    <n v="3"/>
    <n v="1"/>
    <x v="1"/>
    <x v="0"/>
    <s v="Married"/>
    <n v="2782"/>
    <n v="21412"/>
    <n v="3"/>
    <s v="Y"/>
    <s v="No"/>
    <n v="22"/>
    <n v="4"/>
    <n v="1"/>
    <n v="80"/>
    <n v="1"/>
    <n v="12"/>
    <n v="3"/>
    <n v="3"/>
    <n v="5"/>
    <n v="3"/>
    <n v="1"/>
    <n v="0"/>
    <x v="1"/>
    <x v="0"/>
    <x v="2"/>
  </r>
  <r>
    <n v="47"/>
    <s v="No"/>
    <s v="Non-Travel"/>
    <n v="1162"/>
    <x v="1"/>
    <n v="1"/>
    <n v="1"/>
    <s v="Medical"/>
    <n v="1"/>
    <n v="2000"/>
    <n v="3"/>
    <x v="0"/>
    <n v="98"/>
    <n v="3"/>
    <n v="3"/>
    <x v="7"/>
    <x v="1"/>
    <s v="Married"/>
    <n v="11957"/>
    <n v="17231"/>
    <n v="0"/>
    <s v="Y"/>
    <s v="No"/>
    <n v="18"/>
    <n v="3"/>
    <n v="1"/>
    <n v="80"/>
    <n v="2"/>
    <n v="14"/>
    <n v="3"/>
    <n v="1"/>
    <n v="13"/>
    <n v="8"/>
    <n v="5"/>
    <n v="12"/>
    <x v="1"/>
    <x v="1"/>
    <x v="3"/>
  </r>
  <r>
    <n v="35"/>
    <s v="No"/>
    <s v="Travel_Rarely"/>
    <n v="1490"/>
    <x v="1"/>
    <n v="11"/>
    <n v="4"/>
    <s v="Medical"/>
    <n v="1"/>
    <n v="2003"/>
    <n v="4"/>
    <x v="1"/>
    <n v="43"/>
    <n v="3"/>
    <n v="1"/>
    <x v="2"/>
    <x v="2"/>
    <s v="Married"/>
    <n v="2660"/>
    <n v="20232"/>
    <n v="7"/>
    <s v="Y"/>
    <s v="Yes"/>
    <n v="11"/>
    <n v="3"/>
    <n v="3"/>
    <n v="80"/>
    <n v="1"/>
    <n v="5"/>
    <n v="3"/>
    <n v="3"/>
    <n v="2"/>
    <n v="2"/>
    <n v="2"/>
    <n v="2"/>
    <x v="1"/>
    <x v="2"/>
    <x v="1"/>
  </r>
  <r>
    <n v="22"/>
    <s v="No"/>
    <s v="Travel_Rarely"/>
    <n v="581"/>
    <x v="1"/>
    <n v="1"/>
    <n v="2"/>
    <s v="Life Sciences"/>
    <n v="1"/>
    <n v="2007"/>
    <n v="4"/>
    <x v="1"/>
    <n v="63"/>
    <n v="3"/>
    <n v="1"/>
    <x v="1"/>
    <x v="2"/>
    <s v="Single"/>
    <n v="3375"/>
    <n v="17624"/>
    <n v="0"/>
    <s v="Y"/>
    <s v="No"/>
    <n v="12"/>
    <n v="3"/>
    <n v="4"/>
    <n v="80"/>
    <n v="0"/>
    <n v="4"/>
    <n v="2"/>
    <n v="4"/>
    <n v="3"/>
    <n v="2"/>
    <n v="1"/>
    <n v="2"/>
    <x v="1"/>
    <x v="3"/>
    <x v="2"/>
  </r>
  <r>
    <n v="35"/>
    <s v="No"/>
    <s v="Travel_Rarely"/>
    <n v="1395"/>
    <x v="1"/>
    <n v="9"/>
    <n v="4"/>
    <s v="Medical"/>
    <n v="1"/>
    <n v="2008"/>
    <n v="2"/>
    <x v="1"/>
    <n v="48"/>
    <n v="3"/>
    <n v="2"/>
    <x v="1"/>
    <x v="2"/>
    <s v="Single"/>
    <n v="5098"/>
    <n v="18698"/>
    <n v="1"/>
    <s v="Y"/>
    <s v="No"/>
    <n v="19"/>
    <n v="3"/>
    <n v="2"/>
    <n v="80"/>
    <n v="0"/>
    <n v="10"/>
    <n v="5"/>
    <n v="3"/>
    <n v="10"/>
    <n v="7"/>
    <n v="0"/>
    <n v="8"/>
    <x v="1"/>
    <x v="2"/>
    <x v="0"/>
  </r>
  <r>
    <n v="33"/>
    <s v="No"/>
    <s v="Travel_Rarely"/>
    <n v="501"/>
    <x v="1"/>
    <n v="15"/>
    <n v="2"/>
    <s v="Medical"/>
    <n v="1"/>
    <n v="2009"/>
    <n v="2"/>
    <x v="0"/>
    <n v="95"/>
    <n v="3"/>
    <n v="2"/>
    <x v="4"/>
    <x v="0"/>
    <s v="Married"/>
    <n v="4878"/>
    <n v="21653"/>
    <n v="0"/>
    <s v="Y"/>
    <s v="Yes"/>
    <n v="13"/>
    <n v="3"/>
    <n v="1"/>
    <n v="80"/>
    <n v="1"/>
    <n v="10"/>
    <n v="6"/>
    <n v="3"/>
    <n v="9"/>
    <n v="7"/>
    <n v="8"/>
    <n v="1"/>
    <x v="1"/>
    <x v="2"/>
    <x v="0"/>
  </r>
  <r>
    <n v="32"/>
    <s v="No"/>
    <s v="Travel_Rarely"/>
    <n v="267"/>
    <x v="1"/>
    <n v="29"/>
    <n v="4"/>
    <s v="Life Sciences"/>
    <n v="1"/>
    <n v="2010"/>
    <n v="3"/>
    <x v="0"/>
    <n v="49"/>
    <n v="2"/>
    <n v="1"/>
    <x v="2"/>
    <x v="1"/>
    <s v="Single"/>
    <n v="2837"/>
    <n v="15919"/>
    <n v="1"/>
    <s v="Y"/>
    <s v="No"/>
    <n v="13"/>
    <n v="3"/>
    <n v="3"/>
    <n v="80"/>
    <n v="0"/>
    <n v="6"/>
    <n v="3"/>
    <n v="3"/>
    <n v="6"/>
    <n v="2"/>
    <n v="4"/>
    <n v="1"/>
    <x v="1"/>
    <x v="2"/>
    <x v="0"/>
  </r>
  <r>
    <n v="40"/>
    <s v="No"/>
    <s v="Travel_Rarely"/>
    <n v="543"/>
    <x v="1"/>
    <n v="1"/>
    <n v="4"/>
    <s v="Life Sciences"/>
    <n v="1"/>
    <n v="2012"/>
    <n v="1"/>
    <x v="1"/>
    <n v="83"/>
    <n v="3"/>
    <n v="1"/>
    <x v="2"/>
    <x v="0"/>
    <s v="Married"/>
    <n v="2406"/>
    <n v="4060"/>
    <n v="8"/>
    <s v="Y"/>
    <s v="No"/>
    <n v="19"/>
    <n v="3"/>
    <n v="3"/>
    <n v="80"/>
    <n v="2"/>
    <n v="8"/>
    <n v="3"/>
    <n v="2"/>
    <n v="1"/>
    <n v="0"/>
    <n v="0"/>
    <n v="0"/>
    <x v="1"/>
    <x v="0"/>
    <x v="1"/>
  </r>
  <r>
    <n v="32"/>
    <s v="No"/>
    <s v="Travel_Rarely"/>
    <n v="234"/>
    <x v="0"/>
    <n v="1"/>
    <n v="4"/>
    <s v="Medical"/>
    <n v="1"/>
    <n v="2013"/>
    <n v="2"/>
    <x v="1"/>
    <n v="68"/>
    <n v="2"/>
    <n v="1"/>
    <x v="6"/>
    <x v="1"/>
    <s v="Married"/>
    <n v="2269"/>
    <n v="18024"/>
    <n v="0"/>
    <s v="Y"/>
    <s v="No"/>
    <n v="14"/>
    <n v="3"/>
    <n v="2"/>
    <n v="80"/>
    <n v="1"/>
    <n v="3"/>
    <n v="2"/>
    <n v="3"/>
    <n v="2"/>
    <n v="2"/>
    <n v="2"/>
    <n v="2"/>
    <x v="1"/>
    <x v="2"/>
    <x v="1"/>
  </r>
  <r>
    <n v="39"/>
    <s v="No"/>
    <s v="Travel_Rarely"/>
    <n v="116"/>
    <x v="1"/>
    <n v="24"/>
    <n v="1"/>
    <s v="Life Sciences"/>
    <n v="1"/>
    <n v="2014"/>
    <n v="1"/>
    <x v="1"/>
    <n v="52"/>
    <n v="3"/>
    <n v="2"/>
    <x v="1"/>
    <x v="0"/>
    <s v="Single"/>
    <n v="4108"/>
    <n v="5340"/>
    <n v="7"/>
    <s v="Y"/>
    <s v="No"/>
    <n v="13"/>
    <n v="3"/>
    <n v="1"/>
    <n v="80"/>
    <n v="0"/>
    <n v="18"/>
    <n v="2"/>
    <n v="3"/>
    <n v="7"/>
    <n v="7"/>
    <n v="1"/>
    <n v="7"/>
    <x v="1"/>
    <x v="0"/>
    <x v="0"/>
  </r>
  <r>
    <n v="38"/>
    <s v="No"/>
    <s v="Travel_Rarely"/>
    <n v="201"/>
    <x v="1"/>
    <n v="10"/>
    <n v="3"/>
    <s v="Medical"/>
    <n v="1"/>
    <n v="2015"/>
    <n v="2"/>
    <x v="0"/>
    <n v="99"/>
    <n v="1"/>
    <n v="3"/>
    <x v="7"/>
    <x v="2"/>
    <s v="Married"/>
    <n v="13206"/>
    <n v="3376"/>
    <n v="3"/>
    <s v="Y"/>
    <s v="No"/>
    <n v="12"/>
    <n v="3"/>
    <n v="1"/>
    <n v="80"/>
    <n v="1"/>
    <n v="20"/>
    <n v="3"/>
    <n v="3"/>
    <n v="18"/>
    <n v="16"/>
    <n v="1"/>
    <n v="11"/>
    <x v="1"/>
    <x v="0"/>
    <x v="3"/>
  </r>
  <r>
    <n v="32"/>
    <s v="No"/>
    <s v="Travel_Rarely"/>
    <n v="801"/>
    <x v="0"/>
    <n v="1"/>
    <n v="4"/>
    <s v="Marketing"/>
    <n v="1"/>
    <n v="2016"/>
    <n v="3"/>
    <x v="0"/>
    <n v="48"/>
    <n v="3"/>
    <n v="3"/>
    <x v="0"/>
    <x v="0"/>
    <s v="Married"/>
    <n v="10422"/>
    <n v="24032"/>
    <n v="1"/>
    <s v="Y"/>
    <s v="No"/>
    <n v="19"/>
    <n v="3"/>
    <n v="3"/>
    <n v="80"/>
    <n v="2"/>
    <n v="14"/>
    <n v="3"/>
    <n v="3"/>
    <n v="14"/>
    <n v="10"/>
    <n v="5"/>
    <n v="7"/>
    <x v="1"/>
    <x v="2"/>
    <x v="3"/>
  </r>
  <r>
    <n v="37"/>
    <s v="No"/>
    <s v="Travel_Rarely"/>
    <n v="161"/>
    <x v="1"/>
    <n v="10"/>
    <n v="3"/>
    <s v="Life Sciences"/>
    <n v="1"/>
    <n v="2017"/>
    <n v="3"/>
    <x v="0"/>
    <n v="42"/>
    <n v="4"/>
    <n v="3"/>
    <x v="7"/>
    <x v="0"/>
    <s v="Married"/>
    <n v="13744"/>
    <n v="15471"/>
    <n v="1"/>
    <s v="Y"/>
    <s v="Yes"/>
    <n v="25"/>
    <n v="4"/>
    <n v="1"/>
    <n v="80"/>
    <n v="1"/>
    <n v="16"/>
    <n v="2"/>
    <n v="3"/>
    <n v="16"/>
    <n v="11"/>
    <n v="6"/>
    <n v="8"/>
    <x v="1"/>
    <x v="0"/>
    <x v="3"/>
  </r>
  <r>
    <n v="25"/>
    <s v="No"/>
    <s v="Travel_Rarely"/>
    <n v="1382"/>
    <x v="0"/>
    <n v="8"/>
    <n v="2"/>
    <s v="Other"/>
    <n v="1"/>
    <n v="2018"/>
    <n v="1"/>
    <x v="0"/>
    <n v="85"/>
    <n v="3"/>
    <n v="2"/>
    <x v="0"/>
    <x v="2"/>
    <s v="Divorced"/>
    <n v="4907"/>
    <n v="13684"/>
    <n v="0"/>
    <s v="Y"/>
    <s v="Yes"/>
    <n v="22"/>
    <n v="4"/>
    <n v="2"/>
    <n v="80"/>
    <n v="1"/>
    <n v="6"/>
    <n v="3"/>
    <n v="2"/>
    <n v="5"/>
    <n v="3"/>
    <n v="0"/>
    <n v="4"/>
    <x v="1"/>
    <x v="3"/>
    <x v="2"/>
  </r>
  <r>
    <n v="52"/>
    <s v="No"/>
    <s v="Non-Travel"/>
    <n v="585"/>
    <x v="0"/>
    <n v="29"/>
    <n v="4"/>
    <s v="Life Sciences"/>
    <n v="1"/>
    <n v="2019"/>
    <n v="1"/>
    <x v="1"/>
    <n v="40"/>
    <n v="3"/>
    <n v="1"/>
    <x v="6"/>
    <x v="0"/>
    <s v="Divorced"/>
    <n v="3482"/>
    <n v="19788"/>
    <n v="2"/>
    <s v="Y"/>
    <s v="No"/>
    <n v="15"/>
    <n v="3"/>
    <n v="2"/>
    <n v="80"/>
    <n v="2"/>
    <n v="16"/>
    <n v="3"/>
    <n v="2"/>
    <n v="9"/>
    <n v="8"/>
    <n v="0"/>
    <n v="0"/>
    <x v="1"/>
    <x v="1"/>
    <x v="0"/>
  </r>
  <r>
    <n v="44"/>
    <s v="No"/>
    <s v="Travel_Rarely"/>
    <n v="1037"/>
    <x v="1"/>
    <n v="1"/>
    <n v="3"/>
    <s v="Medical"/>
    <n v="1"/>
    <n v="2020"/>
    <n v="2"/>
    <x v="1"/>
    <n v="42"/>
    <n v="3"/>
    <n v="1"/>
    <x v="1"/>
    <x v="0"/>
    <s v="Single"/>
    <n v="2436"/>
    <n v="13422"/>
    <n v="6"/>
    <s v="Y"/>
    <s v="Yes"/>
    <n v="12"/>
    <n v="3"/>
    <n v="3"/>
    <n v="80"/>
    <n v="0"/>
    <n v="6"/>
    <n v="2"/>
    <n v="3"/>
    <n v="4"/>
    <n v="3"/>
    <n v="1"/>
    <n v="2"/>
    <x v="1"/>
    <x v="0"/>
    <x v="2"/>
  </r>
  <r>
    <n v="21"/>
    <s v="No"/>
    <s v="Travel_Rarely"/>
    <n v="501"/>
    <x v="0"/>
    <n v="5"/>
    <n v="1"/>
    <s v="Medical"/>
    <n v="1"/>
    <n v="2021"/>
    <n v="3"/>
    <x v="1"/>
    <n v="58"/>
    <n v="3"/>
    <n v="1"/>
    <x v="6"/>
    <x v="3"/>
    <s v="Single"/>
    <n v="2380"/>
    <n v="25479"/>
    <n v="1"/>
    <s v="Y"/>
    <s v="Yes"/>
    <n v="11"/>
    <n v="3"/>
    <n v="4"/>
    <n v="80"/>
    <n v="0"/>
    <n v="2"/>
    <n v="6"/>
    <n v="3"/>
    <n v="2"/>
    <n v="2"/>
    <n v="1"/>
    <n v="2"/>
    <x v="1"/>
    <x v="3"/>
    <x v="1"/>
  </r>
  <r>
    <n v="39"/>
    <s v="No"/>
    <s v="Non-Travel"/>
    <n v="105"/>
    <x v="1"/>
    <n v="9"/>
    <n v="3"/>
    <s v="Life Sciences"/>
    <n v="1"/>
    <n v="2022"/>
    <n v="4"/>
    <x v="1"/>
    <n v="87"/>
    <n v="3"/>
    <n v="5"/>
    <x v="5"/>
    <x v="0"/>
    <s v="Single"/>
    <n v="19431"/>
    <n v="15302"/>
    <n v="2"/>
    <s v="Y"/>
    <s v="No"/>
    <n v="13"/>
    <n v="3"/>
    <n v="3"/>
    <n v="80"/>
    <n v="0"/>
    <n v="21"/>
    <n v="3"/>
    <n v="2"/>
    <n v="6"/>
    <n v="0"/>
    <n v="1"/>
    <n v="3"/>
    <x v="1"/>
    <x v="0"/>
    <x v="0"/>
  </r>
  <r>
    <n v="23"/>
    <s v="Yes"/>
    <s v="Travel_Frequently"/>
    <n v="638"/>
    <x v="0"/>
    <n v="9"/>
    <n v="3"/>
    <s v="Marketing"/>
    <n v="1"/>
    <n v="2023"/>
    <n v="4"/>
    <x v="1"/>
    <n v="33"/>
    <n v="3"/>
    <n v="1"/>
    <x v="6"/>
    <x v="3"/>
    <s v="Married"/>
    <n v="1790"/>
    <n v="26956"/>
    <n v="1"/>
    <s v="Y"/>
    <s v="No"/>
    <n v="19"/>
    <n v="3"/>
    <n v="1"/>
    <n v="80"/>
    <n v="1"/>
    <n v="1"/>
    <n v="3"/>
    <n v="2"/>
    <n v="1"/>
    <n v="0"/>
    <n v="1"/>
    <n v="0"/>
    <x v="0"/>
    <x v="3"/>
    <x v="1"/>
  </r>
  <r>
    <n v="36"/>
    <s v="No"/>
    <s v="Travel_Rarely"/>
    <n v="557"/>
    <x v="0"/>
    <n v="3"/>
    <n v="3"/>
    <s v="Medical"/>
    <n v="1"/>
    <n v="2024"/>
    <n v="1"/>
    <x v="0"/>
    <n v="94"/>
    <n v="2"/>
    <n v="3"/>
    <x v="0"/>
    <x v="0"/>
    <s v="Married"/>
    <n v="7644"/>
    <n v="12695"/>
    <n v="0"/>
    <s v="Y"/>
    <s v="No"/>
    <n v="19"/>
    <n v="3"/>
    <n v="3"/>
    <n v="80"/>
    <n v="2"/>
    <n v="10"/>
    <n v="2"/>
    <n v="3"/>
    <n v="9"/>
    <n v="7"/>
    <n v="3"/>
    <n v="4"/>
    <x v="1"/>
    <x v="0"/>
    <x v="0"/>
  </r>
  <r>
    <n v="36"/>
    <s v="No"/>
    <s v="Travel_Frequently"/>
    <n v="688"/>
    <x v="1"/>
    <n v="4"/>
    <n v="2"/>
    <s v="Life Sciences"/>
    <n v="1"/>
    <n v="2025"/>
    <n v="4"/>
    <x v="0"/>
    <n v="97"/>
    <n v="3"/>
    <n v="2"/>
    <x v="3"/>
    <x v="1"/>
    <s v="Divorced"/>
    <n v="5131"/>
    <n v="9192"/>
    <n v="7"/>
    <s v="Y"/>
    <s v="No"/>
    <n v="13"/>
    <n v="3"/>
    <n v="2"/>
    <n v="80"/>
    <n v="3"/>
    <n v="18"/>
    <n v="3"/>
    <n v="3"/>
    <n v="4"/>
    <n v="2"/>
    <n v="0"/>
    <n v="2"/>
    <x v="1"/>
    <x v="0"/>
    <x v="2"/>
  </r>
  <r>
    <n v="56"/>
    <s v="No"/>
    <s v="Non-Travel"/>
    <n v="667"/>
    <x v="1"/>
    <n v="1"/>
    <n v="4"/>
    <s v="Life Sciences"/>
    <n v="1"/>
    <n v="2026"/>
    <n v="3"/>
    <x v="1"/>
    <n v="57"/>
    <n v="3"/>
    <n v="2"/>
    <x v="4"/>
    <x v="2"/>
    <s v="Divorced"/>
    <n v="6306"/>
    <n v="26236"/>
    <n v="1"/>
    <s v="Y"/>
    <s v="No"/>
    <n v="21"/>
    <n v="4"/>
    <n v="1"/>
    <n v="80"/>
    <n v="1"/>
    <n v="13"/>
    <n v="2"/>
    <n v="2"/>
    <n v="13"/>
    <n v="12"/>
    <n v="1"/>
    <n v="9"/>
    <x v="1"/>
    <x v="1"/>
    <x v="3"/>
  </r>
  <r>
    <n v="29"/>
    <s v="Yes"/>
    <s v="Travel_Rarely"/>
    <n v="1092"/>
    <x v="1"/>
    <n v="1"/>
    <n v="4"/>
    <s v="Medical"/>
    <n v="1"/>
    <n v="2027"/>
    <n v="1"/>
    <x v="1"/>
    <n v="36"/>
    <n v="3"/>
    <n v="1"/>
    <x v="1"/>
    <x v="0"/>
    <s v="Married"/>
    <n v="4787"/>
    <n v="26124"/>
    <n v="9"/>
    <s v="Y"/>
    <s v="Yes"/>
    <n v="14"/>
    <n v="3"/>
    <n v="2"/>
    <n v="80"/>
    <n v="3"/>
    <n v="4"/>
    <n v="3"/>
    <n v="4"/>
    <n v="2"/>
    <n v="2"/>
    <n v="2"/>
    <n v="2"/>
    <x v="0"/>
    <x v="2"/>
    <x v="1"/>
  </r>
  <r>
    <n v="42"/>
    <s v="No"/>
    <s v="Travel_Rarely"/>
    <n v="300"/>
    <x v="1"/>
    <n v="2"/>
    <n v="3"/>
    <s v="Life Sciences"/>
    <n v="1"/>
    <n v="2031"/>
    <n v="1"/>
    <x v="1"/>
    <n v="56"/>
    <n v="3"/>
    <n v="5"/>
    <x v="5"/>
    <x v="2"/>
    <s v="Married"/>
    <n v="18880"/>
    <n v="17312"/>
    <n v="5"/>
    <s v="Y"/>
    <s v="No"/>
    <n v="11"/>
    <n v="3"/>
    <n v="1"/>
    <n v="80"/>
    <n v="0"/>
    <n v="24"/>
    <n v="2"/>
    <n v="2"/>
    <n v="22"/>
    <n v="6"/>
    <n v="4"/>
    <n v="14"/>
    <x v="1"/>
    <x v="0"/>
    <x v="3"/>
  </r>
  <r>
    <n v="56"/>
    <s v="Yes"/>
    <s v="Travel_Rarely"/>
    <n v="310"/>
    <x v="1"/>
    <n v="7"/>
    <n v="2"/>
    <s v="Technical Degree"/>
    <n v="1"/>
    <n v="2032"/>
    <n v="4"/>
    <x v="1"/>
    <n v="72"/>
    <n v="3"/>
    <n v="1"/>
    <x v="2"/>
    <x v="2"/>
    <s v="Married"/>
    <n v="2339"/>
    <n v="3666"/>
    <n v="8"/>
    <s v="Y"/>
    <s v="No"/>
    <n v="11"/>
    <n v="3"/>
    <n v="4"/>
    <n v="80"/>
    <n v="1"/>
    <n v="14"/>
    <n v="4"/>
    <n v="1"/>
    <n v="10"/>
    <n v="9"/>
    <n v="9"/>
    <n v="8"/>
    <x v="0"/>
    <x v="1"/>
    <x v="0"/>
  </r>
  <r>
    <n v="41"/>
    <s v="No"/>
    <s v="Travel_Rarely"/>
    <n v="582"/>
    <x v="1"/>
    <n v="28"/>
    <n v="4"/>
    <s v="Life Sciences"/>
    <n v="1"/>
    <n v="2034"/>
    <n v="1"/>
    <x v="0"/>
    <n v="60"/>
    <n v="2"/>
    <n v="4"/>
    <x v="3"/>
    <x v="1"/>
    <s v="Married"/>
    <n v="13570"/>
    <n v="5640"/>
    <n v="0"/>
    <s v="Y"/>
    <s v="No"/>
    <n v="23"/>
    <n v="4"/>
    <n v="3"/>
    <n v="80"/>
    <n v="1"/>
    <n v="21"/>
    <n v="3"/>
    <n v="3"/>
    <n v="20"/>
    <n v="7"/>
    <n v="0"/>
    <n v="10"/>
    <x v="1"/>
    <x v="0"/>
    <x v="3"/>
  </r>
  <r>
    <n v="34"/>
    <s v="No"/>
    <s v="Travel_Rarely"/>
    <n v="704"/>
    <x v="0"/>
    <n v="28"/>
    <n v="3"/>
    <s v="Marketing"/>
    <n v="1"/>
    <n v="2035"/>
    <n v="4"/>
    <x v="0"/>
    <n v="95"/>
    <n v="2"/>
    <n v="2"/>
    <x v="0"/>
    <x v="2"/>
    <s v="Married"/>
    <n v="6712"/>
    <n v="8978"/>
    <n v="1"/>
    <s v="Y"/>
    <s v="No"/>
    <n v="21"/>
    <n v="4"/>
    <n v="4"/>
    <n v="80"/>
    <n v="2"/>
    <n v="8"/>
    <n v="2"/>
    <n v="3"/>
    <n v="8"/>
    <n v="7"/>
    <n v="1"/>
    <n v="7"/>
    <x v="1"/>
    <x v="2"/>
    <x v="0"/>
  </r>
  <r>
    <n v="36"/>
    <s v="No"/>
    <s v="Non-Travel"/>
    <n v="301"/>
    <x v="0"/>
    <n v="15"/>
    <n v="4"/>
    <s v="Marketing"/>
    <n v="1"/>
    <n v="2036"/>
    <n v="4"/>
    <x v="1"/>
    <n v="88"/>
    <n v="1"/>
    <n v="2"/>
    <x v="0"/>
    <x v="0"/>
    <s v="Divorced"/>
    <n v="5406"/>
    <n v="10436"/>
    <n v="1"/>
    <s v="Y"/>
    <s v="No"/>
    <n v="24"/>
    <n v="4"/>
    <n v="1"/>
    <n v="80"/>
    <n v="1"/>
    <n v="15"/>
    <n v="4"/>
    <n v="2"/>
    <n v="15"/>
    <n v="12"/>
    <n v="11"/>
    <n v="11"/>
    <x v="1"/>
    <x v="0"/>
    <x v="3"/>
  </r>
  <r>
    <n v="41"/>
    <s v="No"/>
    <s v="Travel_Rarely"/>
    <n v="930"/>
    <x v="0"/>
    <n v="3"/>
    <n v="3"/>
    <s v="Life Sciences"/>
    <n v="1"/>
    <n v="2037"/>
    <n v="3"/>
    <x v="1"/>
    <n v="57"/>
    <n v="2"/>
    <n v="2"/>
    <x v="0"/>
    <x v="1"/>
    <s v="Divorced"/>
    <n v="8938"/>
    <n v="12227"/>
    <n v="2"/>
    <s v="Y"/>
    <s v="No"/>
    <n v="11"/>
    <n v="3"/>
    <n v="3"/>
    <n v="80"/>
    <n v="1"/>
    <n v="14"/>
    <n v="5"/>
    <n v="3"/>
    <n v="5"/>
    <n v="4"/>
    <n v="0"/>
    <n v="4"/>
    <x v="1"/>
    <x v="0"/>
    <x v="2"/>
  </r>
  <r>
    <n v="32"/>
    <s v="No"/>
    <s v="Travel_Rarely"/>
    <n v="529"/>
    <x v="1"/>
    <n v="2"/>
    <n v="3"/>
    <s v="Technical Degree"/>
    <n v="1"/>
    <n v="2038"/>
    <n v="4"/>
    <x v="1"/>
    <n v="78"/>
    <n v="3"/>
    <n v="1"/>
    <x v="1"/>
    <x v="3"/>
    <s v="Single"/>
    <n v="2439"/>
    <n v="11288"/>
    <n v="1"/>
    <s v="Y"/>
    <s v="No"/>
    <n v="14"/>
    <n v="3"/>
    <n v="4"/>
    <n v="80"/>
    <n v="0"/>
    <n v="4"/>
    <n v="4"/>
    <n v="3"/>
    <n v="4"/>
    <n v="2"/>
    <n v="1"/>
    <n v="2"/>
    <x v="1"/>
    <x v="2"/>
    <x v="2"/>
  </r>
  <r>
    <n v="35"/>
    <s v="No"/>
    <s v="Travel_Rarely"/>
    <n v="1146"/>
    <x v="2"/>
    <n v="26"/>
    <n v="4"/>
    <s v="Life Sciences"/>
    <n v="1"/>
    <n v="2040"/>
    <n v="3"/>
    <x v="0"/>
    <n v="31"/>
    <n v="3"/>
    <n v="3"/>
    <x v="8"/>
    <x v="0"/>
    <s v="Single"/>
    <n v="8837"/>
    <n v="16642"/>
    <n v="1"/>
    <s v="Y"/>
    <s v="Yes"/>
    <n v="16"/>
    <n v="3"/>
    <n v="3"/>
    <n v="80"/>
    <n v="0"/>
    <n v="9"/>
    <n v="2"/>
    <n v="3"/>
    <n v="9"/>
    <n v="0"/>
    <n v="1"/>
    <n v="7"/>
    <x v="1"/>
    <x v="2"/>
    <x v="0"/>
  </r>
  <r>
    <n v="38"/>
    <s v="No"/>
    <s v="Travel_Rarely"/>
    <n v="345"/>
    <x v="0"/>
    <n v="10"/>
    <n v="2"/>
    <s v="Life Sciences"/>
    <n v="1"/>
    <n v="2041"/>
    <n v="1"/>
    <x v="0"/>
    <n v="100"/>
    <n v="3"/>
    <n v="2"/>
    <x v="0"/>
    <x v="0"/>
    <s v="Married"/>
    <n v="5343"/>
    <n v="5982"/>
    <n v="1"/>
    <s v="Y"/>
    <s v="No"/>
    <n v="11"/>
    <n v="3"/>
    <n v="3"/>
    <n v="80"/>
    <n v="1"/>
    <n v="10"/>
    <n v="1"/>
    <n v="3"/>
    <n v="10"/>
    <n v="7"/>
    <n v="1"/>
    <n v="9"/>
    <x v="1"/>
    <x v="0"/>
    <x v="0"/>
  </r>
  <r>
    <n v="50"/>
    <s v="Yes"/>
    <s v="Travel_Frequently"/>
    <n v="878"/>
    <x v="0"/>
    <n v="1"/>
    <n v="4"/>
    <s v="Life Sciences"/>
    <n v="1"/>
    <n v="2044"/>
    <n v="2"/>
    <x v="1"/>
    <n v="94"/>
    <n v="3"/>
    <n v="2"/>
    <x v="0"/>
    <x v="2"/>
    <s v="Divorced"/>
    <n v="6728"/>
    <n v="14255"/>
    <n v="7"/>
    <s v="Y"/>
    <s v="No"/>
    <n v="12"/>
    <n v="3"/>
    <n v="4"/>
    <n v="80"/>
    <n v="2"/>
    <n v="12"/>
    <n v="3"/>
    <n v="3"/>
    <n v="6"/>
    <n v="3"/>
    <n v="0"/>
    <n v="1"/>
    <x v="0"/>
    <x v="1"/>
    <x v="0"/>
  </r>
  <r>
    <n v="36"/>
    <s v="No"/>
    <s v="Travel_Rarely"/>
    <n v="1120"/>
    <x v="0"/>
    <n v="11"/>
    <n v="4"/>
    <s v="Marketing"/>
    <n v="1"/>
    <n v="2045"/>
    <n v="2"/>
    <x v="0"/>
    <n v="100"/>
    <n v="2"/>
    <n v="2"/>
    <x v="0"/>
    <x v="0"/>
    <s v="Married"/>
    <n v="6652"/>
    <n v="14369"/>
    <n v="4"/>
    <s v="Y"/>
    <s v="No"/>
    <n v="13"/>
    <n v="3"/>
    <n v="1"/>
    <n v="80"/>
    <n v="1"/>
    <n v="8"/>
    <n v="2"/>
    <n v="2"/>
    <n v="6"/>
    <n v="3"/>
    <n v="0"/>
    <n v="0"/>
    <x v="1"/>
    <x v="0"/>
    <x v="0"/>
  </r>
  <r>
    <n v="45"/>
    <s v="No"/>
    <s v="Travel_Rarely"/>
    <n v="374"/>
    <x v="0"/>
    <n v="20"/>
    <n v="3"/>
    <s v="Life Sciences"/>
    <n v="1"/>
    <n v="2046"/>
    <n v="4"/>
    <x v="0"/>
    <n v="50"/>
    <n v="3"/>
    <n v="2"/>
    <x v="0"/>
    <x v="2"/>
    <s v="Single"/>
    <n v="4850"/>
    <n v="23333"/>
    <n v="8"/>
    <s v="Y"/>
    <s v="No"/>
    <n v="15"/>
    <n v="3"/>
    <n v="3"/>
    <n v="80"/>
    <n v="0"/>
    <n v="8"/>
    <n v="3"/>
    <n v="3"/>
    <n v="5"/>
    <n v="3"/>
    <n v="0"/>
    <n v="1"/>
    <x v="1"/>
    <x v="0"/>
    <x v="2"/>
  </r>
  <r>
    <n v="40"/>
    <s v="No"/>
    <s v="Travel_Rarely"/>
    <n v="1322"/>
    <x v="1"/>
    <n v="2"/>
    <n v="4"/>
    <s v="Life Sciences"/>
    <n v="1"/>
    <n v="2048"/>
    <n v="3"/>
    <x v="1"/>
    <n v="52"/>
    <n v="2"/>
    <n v="1"/>
    <x v="1"/>
    <x v="2"/>
    <s v="Single"/>
    <n v="2809"/>
    <n v="2725"/>
    <n v="2"/>
    <s v="Y"/>
    <s v="No"/>
    <n v="14"/>
    <n v="3"/>
    <n v="4"/>
    <n v="80"/>
    <n v="0"/>
    <n v="8"/>
    <n v="2"/>
    <n v="3"/>
    <n v="2"/>
    <n v="2"/>
    <n v="2"/>
    <n v="2"/>
    <x v="1"/>
    <x v="0"/>
    <x v="1"/>
  </r>
  <r>
    <n v="35"/>
    <s v="No"/>
    <s v="Travel_Frequently"/>
    <n v="1199"/>
    <x v="1"/>
    <n v="18"/>
    <n v="4"/>
    <s v="Life Sciences"/>
    <n v="1"/>
    <n v="2049"/>
    <n v="3"/>
    <x v="1"/>
    <n v="80"/>
    <n v="3"/>
    <n v="2"/>
    <x v="4"/>
    <x v="2"/>
    <s v="Married"/>
    <n v="5689"/>
    <n v="24594"/>
    <n v="1"/>
    <s v="Y"/>
    <s v="Yes"/>
    <n v="14"/>
    <n v="3"/>
    <n v="4"/>
    <n v="80"/>
    <n v="2"/>
    <n v="10"/>
    <n v="2"/>
    <n v="4"/>
    <n v="10"/>
    <n v="2"/>
    <n v="0"/>
    <n v="2"/>
    <x v="1"/>
    <x v="2"/>
    <x v="0"/>
  </r>
  <r>
    <n v="40"/>
    <s v="No"/>
    <s v="Travel_Rarely"/>
    <n v="1194"/>
    <x v="1"/>
    <n v="2"/>
    <n v="4"/>
    <s v="Medical"/>
    <n v="1"/>
    <n v="2051"/>
    <n v="3"/>
    <x v="0"/>
    <n v="98"/>
    <n v="3"/>
    <n v="1"/>
    <x v="1"/>
    <x v="2"/>
    <s v="Married"/>
    <n v="2001"/>
    <n v="12549"/>
    <n v="2"/>
    <s v="Y"/>
    <s v="No"/>
    <n v="14"/>
    <n v="3"/>
    <n v="2"/>
    <n v="80"/>
    <n v="3"/>
    <n v="20"/>
    <n v="2"/>
    <n v="3"/>
    <n v="5"/>
    <n v="3"/>
    <n v="0"/>
    <n v="2"/>
    <x v="1"/>
    <x v="0"/>
    <x v="2"/>
  </r>
  <r>
    <n v="35"/>
    <s v="No"/>
    <s v="Travel_Rarely"/>
    <n v="287"/>
    <x v="1"/>
    <n v="1"/>
    <n v="4"/>
    <s v="Life Sciences"/>
    <n v="1"/>
    <n v="2052"/>
    <n v="3"/>
    <x v="0"/>
    <n v="62"/>
    <n v="1"/>
    <n v="1"/>
    <x v="1"/>
    <x v="0"/>
    <s v="Married"/>
    <n v="2977"/>
    <n v="8952"/>
    <n v="1"/>
    <s v="Y"/>
    <s v="No"/>
    <n v="12"/>
    <n v="3"/>
    <n v="4"/>
    <n v="80"/>
    <n v="1"/>
    <n v="4"/>
    <n v="5"/>
    <n v="3"/>
    <n v="4"/>
    <n v="3"/>
    <n v="1"/>
    <n v="1"/>
    <x v="1"/>
    <x v="2"/>
    <x v="2"/>
  </r>
  <r>
    <n v="29"/>
    <s v="No"/>
    <s v="Travel_Rarely"/>
    <n v="1378"/>
    <x v="1"/>
    <n v="13"/>
    <n v="2"/>
    <s v="Other"/>
    <n v="1"/>
    <n v="2053"/>
    <n v="4"/>
    <x v="1"/>
    <n v="46"/>
    <n v="2"/>
    <n v="2"/>
    <x v="2"/>
    <x v="1"/>
    <s v="Married"/>
    <n v="4025"/>
    <n v="23679"/>
    <n v="4"/>
    <s v="Y"/>
    <s v="Yes"/>
    <n v="13"/>
    <n v="3"/>
    <n v="1"/>
    <n v="80"/>
    <n v="1"/>
    <n v="10"/>
    <n v="2"/>
    <n v="3"/>
    <n v="4"/>
    <n v="3"/>
    <n v="0"/>
    <n v="3"/>
    <x v="1"/>
    <x v="2"/>
    <x v="2"/>
  </r>
  <r>
    <n v="29"/>
    <s v="No"/>
    <s v="Travel_Rarely"/>
    <n v="468"/>
    <x v="1"/>
    <n v="28"/>
    <n v="4"/>
    <s v="Medical"/>
    <n v="1"/>
    <n v="2054"/>
    <n v="4"/>
    <x v="0"/>
    <n v="73"/>
    <n v="2"/>
    <n v="1"/>
    <x v="1"/>
    <x v="3"/>
    <s v="Single"/>
    <n v="3785"/>
    <n v="8489"/>
    <n v="1"/>
    <s v="Y"/>
    <s v="No"/>
    <n v="14"/>
    <n v="3"/>
    <n v="2"/>
    <n v="80"/>
    <n v="0"/>
    <n v="5"/>
    <n v="3"/>
    <n v="1"/>
    <n v="5"/>
    <n v="4"/>
    <n v="0"/>
    <n v="4"/>
    <x v="1"/>
    <x v="2"/>
    <x v="2"/>
  </r>
  <r>
    <n v="50"/>
    <s v="Yes"/>
    <s v="Travel_Rarely"/>
    <n v="410"/>
    <x v="0"/>
    <n v="28"/>
    <n v="3"/>
    <s v="Marketing"/>
    <n v="1"/>
    <n v="2055"/>
    <n v="4"/>
    <x v="1"/>
    <n v="39"/>
    <n v="2"/>
    <n v="3"/>
    <x v="0"/>
    <x v="3"/>
    <s v="Divorced"/>
    <n v="10854"/>
    <n v="16586"/>
    <n v="4"/>
    <s v="Y"/>
    <s v="Yes"/>
    <n v="13"/>
    <n v="3"/>
    <n v="2"/>
    <n v="80"/>
    <n v="1"/>
    <n v="20"/>
    <n v="3"/>
    <n v="3"/>
    <n v="3"/>
    <n v="2"/>
    <n v="2"/>
    <n v="0"/>
    <x v="0"/>
    <x v="1"/>
    <x v="2"/>
  </r>
  <r>
    <n v="39"/>
    <s v="No"/>
    <s v="Travel_Rarely"/>
    <n v="722"/>
    <x v="0"/>
    <n v="24"/>
    <n v="1"/>
    <s v="Marketing"/>
    <n v="1"/>
    <n v="2056"/>
    <n v="2"/>
    <x v="0"/>
    <n v="60"/>
    <n v="2"/>
    <n v="4"/>
    <x v="0"/>
    <x v="0"/>
    <s v="Married"/>
    <n v="12031"/>
    <n v="8828"/>
    <n v="0"/>
    <s v="Y"/>
    <s v="No"/>
    <n v="11"/>
    <n v="3"/>
    <n v="1"/>
    <n v="80"/>
    <n v="1"/>
    <n v="21"/>
    <n v="2"/>
    <n v="2"/>
    <n v="20"/>
    <n v="9"/>
    <n v="9"/>
    <n v="6"/>
    <x v="1"/>
    <x v="0"/>
    <x v="3"/>
  </r>
  <r>
    <n v="31"/>
    <s v="No"/>
    <s v="Non-Travel"/>
    <n v="325"/>
    <x v="1"/>
    <n v="5"/>
    <n v="3"/>
    <s v="Medical"/>
    <n v="1"/>
    <n v="2057"/>
    <n v="2"/>
    <x v="1"/>
    <n v="74"/>
    <n v="3"/>
    <n v="2"/>
    <x v="3"/>
    <x v="3"/>
    <s v="Single"/>
    <n v="9936"/>
    <n v="3787"/>
    <n v="0"/>
    <s v="Y"/>
    <s v="No"/>
    <n v="19"/>
    <n v="3"/>
    <n v="2"/>
    <n v="80"/>
    <n v="0"/>
    <n v="10"/>
    <n v="2"/>
    <n v="3"/>
    <n v="9"/>
    <n v="4"/>
    <n v="1"/>
    <n v="7"/>
    <x v="1"/>
    <x v="2"/>
    <x v="0"/>
  </r>
  <r>
    <n v="26"/>
    <s v="No"/>
    <s v="Travel_Rarely"/>
    <n v="1167"/>
    <x v="0"/>
    <n v="5"/>
    <n v="3"/>
    <s v="Other"/>
    <n v="1"/>
    <n v="2060"/>
    <n v="4"/>
    <x v="0"/>
    <n v="30"/>
    <n v="2"/>
    <n v="1"/>
    <x v="6"/>
    <x v="2"/>
    <s v="Single"/>
    <n v="2966"/>
    <n v="21378"/>
    <n v="0"/>
    <s v="Y"/>
    <s v="No"/>
    <n v="18"/>
    <n v="3"/>
    <n v="4"/>
    <n v="80"/>
    <n v="0"/>
    <n v="5"/>
    <n v="2"/>
    <n v="3"/>
    <n v="4"/>
    <n v="2"/>
    <n v="0"/>
    <n v="0"/>
    <x v="1"/>
    <x v="2"/>
    <x v="2"/>
  </r>
  <r>
    <n v="36"/>
    <s v="No"/>
    <s v="Travel_Frequently"/>
    <n v="884"/>
    <x v="1"/>
    <n v="23"/>
    <n v="2"/>
    <s v="Medical"/>
    <n v="1"/>
    <n v="2061"/>
    <n v="3"/>
    <x v="1"/>
    <n v="41"/>
    <n v="4"/>
    <n v="2"/>
    <x v="2"/>
    <x v="0"/>
    <s v="Married"/>
    <n v="2571"/>
    <n v="12290"/>
    <n v="4"/>
    <s v="Y"/>
    <s v="No"/>
    <n v="17"/>
    <n v="3"/>
    <n v="3"/>
    <n v="80"/>
    <n v="1"/>
    <n v="17"/>
    <n v="3"/>
    <n v="3"/>
    <n v="5"/>
    <n v="2"/>
    <n v="0"/>
    <n v="3"/>
    <x v="1"/>
    <x v="0"/>
    <x v="2"/>
  </r>
  <r>
    <n v="39"/>
    <s v="No"/>
    <s v="Travel_Rarely"/>
    <n v="613"/>
    <x v="1"/>
    <n v="6"/>
    <n v="1"/>
    <s v="Medical"/>
    <n v="1"/>
    <n v="2062"/>
    <n v="4"/>
    <x v="1"/>
    <n v="42"/>
    <n v="2"/>
    <n v="3"/>
    <x v="4"/>
    <x v="3"/>
    <s v="Married"/>
    <n v="9991"/>
    <n v="21457"/>
    <n v="4"/>
    <s v="Y"/>
    <s v="No"/>
    <n v="15"/>
    <n v="3"/>
    <n v="1"/>
    <n v="80"/>
    <n v="1"/>
    <n v="9"/>
    <n v="5"/>
    <n v="3"/>
    <n v="7"/>
    <n v="7"/>
    <n v="1"/>
    <n v="7"/>
    <x v="1"/>
    <x v="0"/>
    <x v="0"/>
  </r>
  <r>
    <n v="27"/>
    <s v="No"/>
    <s v="Travel_Rarely"/>
    <n v="155"/>
    <x v="1"/>
    <n v="4"/>
    <n v="3"/>
    <s v="Life Sciences"/>
    <n v="1"/>
    <n v="2064"/>
    <n v="2"/>
    <x v="1"/>
    <n v="87"/>
    <n v="4"/>
    <n v="2"/>
    <x v="3"/>
    <x v="1"/>
    <s v="Married"/>
    <n v="6142"/>
    <n v="5174"/>
    <n v="1"/>
    <s v="Y"/>
    <s v="Yes"/>
    <n v="20"/>
    <n v="4"/>
    <n v="2"/>
    <n v="80"/>
    <n v="1"/>
    <n v="6"/>
    <n v="0"/>
    <n v="3"/>
    <n v="6"/>
    <n v="2"/>
    <n v="0"/>
    <n v="3"/>
    <x v="1"/>
    <x v="2"/>
    <x v="0"/>
  </r>
  <r>
    <n v="49"/>
    <s v="No"/>
    <s v="Travel_Frequently"/>
    <n v="1023"/>
    <x v="0"/>
    <n v="2"/>
    <n v="3"/>
    <s v="Medical"/>
    <n v="1"/>
    <n v="2065"/>
    <n v="4"/>
    <x v="1"/>
    <n v="63"/>
    <n v="2"/>
    <n v="2"/>
    <x v="0"/>
    <x v="1"/>
    <s v="Married"/>
    <n v="5390"/>
    <n v="13243"/>
    <n v="2"/>
    <s v="Y"/>
    <s v="No"/>
    <n v="14"/>
    <n v="3"/>
    <n v="4"/>
    <n v="80"/>
    <n v="0"/>
    <n v="17"/>
    <n v="3"/>
    <n v="2"/>
    <n v="9"/>
    <n v="6"/>
    <n v="0"/>
    <n v="8"/>
    <x v="1"/>
    <x v="1"/>
    <x v="0"/>
  </r>
  <r>
    <n v="34"/>
    <s v="No"/>
    <s v="Travel_Rarely"/>
    <n v="628"/>
    <x v="1"/>
    <n v="8"/>
    <n v="3"/>
    <s v="Medical"/>
    <n v="1"/>
    <n v="2068"/>
    <n v="2"/>
    <x v="1"/>
    <n v="82"/>
    <n v="4"/>
    <n v="2"/>
    <x v="2"/>
    <x v="2"/>
    <s v="Married"/>
    <n v="4404"/>
    <n v="10228"/>
    <n v="2"/>
    <s v="Y"/>
    <s v="No"/>
    <n v="12"/>
    <n v="3"/>
    <n v="1"/>
    <n v="80"/>
    <n v="0"/>
    <n v="6"/>
    <n v="3"/>
    <n v="4"/>
    <n v="4"/>
    <n v="3"/>
    <n v="1"/>
    <n v="2"/>
    <x v="1"/>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7A741D-2102-4EB9-B3F5-1F80E9B41AD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3:C18"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6"/>
  </rowFields>
  <rowItems count="5">
    <i>
      <x/>
    </i>
    <i>
      <x v="1"/>
    </i>
    <i>
      <x v="2"/>
    </i>
    <i>
      <x v="3"/>
    </i>
    <i t="grand">
      <x/>
    </i>
  </rowItems>
  <colItems count="1">
    <i/>
  </colItems>
  <dataFields count="1">
    <dataField name="Attrition by Job Satisfaction" fld="35" baseField="4" baseItem="0"/>
  </dataField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58E0B9-047C-4E08-BBE8-9843695F841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5:F10"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5">
        <item x="3"/>
        <item x="2"/>
        <item x="0"/>
        <item x="1"/>
        <item t="default"/>
      </items>
    </pivotField>
    <pivotField showAll="0"/>
  </pivotFields>
  <rowFields count="1">
    <field x="36"/>
  </rowFields>
  <rowItems count="5">
    <i>
      <x/>
    </i>
    <i>
      <x v="1"/>
    </i>
    <i>
      <x v="2"/>
    </i>
    <i>
      <x v="3"/>
    </i>
    <i t="grand">
      <x/>
    </i>
  </rowItems>
  <colItems count="1">
    <i/>
  </colItems>
  <dataFields count="1">
    <dataField name="Attrition by Age Group" fld="35" baseField="4" baseItem="0"/>
  </dataField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66C38-1628-415D-BD52-026F3645F16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C9" firstHeaderRow="1" firstDataRow="1" firstDataCol="1"/>
  <pivotFields count="38">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ttrition by Department" fld="35" baseField="4"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1E1F86-D040-4118-9C10-342B0296B9B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21:F26"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2"/>
        <item x="3"/>
        <item x="0"/>
        <item x="1"/>
        <item t="default"/>
      </items>
    </pivotField>
  </pivotFields>
  <rowFields count="1">
    <field x="37"/>
  </rowFields>
  <rowItems count="5">
    <i>
      <x/>
    </i>
    <i>
      <x v="1"/>
    </i>
    <i>
      <x v="2"/>
    </i>
    <i>
      <x v="3"/>
    </i>
    <i t="grand">
      <x/>
    </i>
  </rowItems>
  <colItems count="1">
    <i/>
  </colItems>
  <dataFields count="1">
    <dataField name="Attrition by Tenure" fld="35" baseField="4" baseItem="0"/>
  </dataFields>
  <chartFormats count="3">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0DF905-2AEB-4C2A-A162-B9C0BE12EAC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21:C24"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s>
  <rowFields count="1">
    <field x="35"/>
  </rowFields>
  <rowItems count="3">
    <i>
      <x/>
    </i>
    <i>
      <x v="1"/>
    </i>
    <i t="grand">
      <x/>
    </i>
  </rowItems>
  <colItems count="1">
    <i/>
  </colItems>
  <dataFields count="1">
    <dataField name="Avg Salary by Attrition" fld="18" subtotal="average" baseField="35" baseItem="0"/>
  </dataFields>
  <chartFormats count="4">
    <chartFormat chart="25"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E04C70-C7E8-47FD-8ED6-EC0D863BF82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13:F16"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1"/>
  </rowFields>
  <rowItems count="3">
    <i>
      <x/>
    </i>
    <i>
      <x v="1"/>
    </i>
    <i t="grand">
      <x/>
    </i>
  </rowItems>
  <colItems count="1">
    <i/>
  </colItems>
  <dataFields count="1">
    <dataField name="Attrition by Gender" fld="35" baseField="4" baseItem="0"/>
  </dataFields>
  <chartFormats count="3">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1" count="1" selected="0">
            <x v="0"/>
          </reference>
        </references>
      </pivotArea>
    </chartFormat>
    <chartFormat chart="11" format="1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39CFE21-F8A0-45C4-BB67-F025ED763F6B}" sourceName="Department">
  <pivotTables>
    <pivotTable tabId="3" name="PivotTable9"/>
    <pivotTable tabId="3" name="PivotTable10"/>
    <pivotTable tabId="3" name="PivotTable11"/>
    <pivotTable tabId="3" name="PivotTable12"/>
    <pivotTable tabId="3" name="PivotTable13"/>
    <pivotTable tabId="3" name="PivotTable14"/>
  </pivotTables>
  <data>
    <tabular pivotCacheId="144543015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A0EC3D2-8E0A-4483-8610-27CFA81E4A40}" sourceName="JobRole">
  <pivotTables>
    <pivotTable tabId="3" name="PivotTable9"/>
    <pivotTable tabId="3" name="PivotTable10"/>
    <pivotTable tabId="3" name="PivotTable11"/>
    <pivotTable tabId="3" name="PivotTable12"/>
    <pivotTable tabId="3" name="PivotTable13"/>
    <pivotTable tabId="3" name="PivotTable14"/>
  </pivotTables>
  <data>
    <tabular pivotCacheId="1445430157">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7123AC2-5682-4867-9D06-576FCF757930}" sourceName="Gender">
  <pivotTables>
    <pivotTable tabId="3" name="PivotTable9"/>
    <pivotTable tabId="3" name="PivotTable10"/>
    <pivotTable tabId="3" name="PivotTable11"/>
    <pivotTable tabId="3" name="PivotTable12"/>
    <pivotTable tabId="3" name="PivotTable13"/>
    <pivotTable tabId="3" name="PivotTable14"/>
  </pivotTables>
  <data>
    <tabular pivotCacheId="144543015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D642A9E-2ACF-4E44-B908-1277D2267215}" cache="Slicer_Department" caption="Department" rowHeight="234950"/>
  <slicer name="JobRole" xr10:uid="{60EC1B2D-028F-4975-A496-89273AD3540B}" cache="Slicer_JobRole" caption="JobRole" rowHeight="234950"/>
  <slicer name="Gender" xr10:uid="{52D8C2EA-FE2C-4F8C-B111-A79D1BE3599D}"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CEEFA-97D8-446C-92E9-C1D8B0DA3DB7}" name="HR_Data" displayName="HR_Data" ref="A1:AL1472" totalsRowCount="1">
  <autoFilter ref="A1:AL1471" xr:uid="{DE6CEEFA-97D8-446C-92E9-C1D8B0DA3DB7}"/>
  <tableColumns count="38">
    <tableColumn id="1" xr3:uid="{4FBF9DC6-8731-41D4-8742-3854BC3FBD2B}" name="Age"/>
    <tableColumn id="2" xr3:uid="{AE89E099-B902-4168-BA9E-EF24B68FEBB4}" name="Attrition"/>
    <tableColumn id="3" xr3:uid="{FA7AA7BE-AD93-49DB-8F8B-57E87DB90992}" name="BusinessTravel"/>
    <tableColumn id="4" xr3:uid="{F9440301-8600-4BD2-B03A-DF647DA02B61}" name="DailyRate"/>
    <tableColumn id="5" xr3:uid="{A7AEB011-0376-4EF7-8286-C343D646ADF5}" name="Department"/>
    <tableColumn id="6" xr3:uid="{5BEECE0D-1D8F-45EF-91A7-FC23FFF0BBAC}" name="DistanceFromHome"/>
    <tableColumn id="7" xr3:uid="{6D40981F-5AEF-4F19-8EE9-85FB2E3F2254}" name="Education"/>
    <tableColumn id="8" xr3:uid="{F26AC292-8161-4EEE-8B34-0309EE3373FF}" name="EducationField"/>
    <tableColumn id="9" xr3:uid="{29A50D20-8EC2-42BB-BAA6-96A3CD67AF58}" name="EmployeeCount"/>
    <tableColumn id="10" xr3:uid="{07C20940-77AB-416E-8F7B-1E9C172DE7E6}" name="EmployeeNumber"/>
    <tableColumn id="11" xr3:uid="{0F1A1E2D-6ED5-4971-84FB-751C9B66F5EE}" name="EnvironmentSatisfaction"/>
    <tableColumn id="12" xr3:uid="{5593B562-823D-4220-A862-CE4CC623A97E}" name="Gender"/>
    <tableColumn id="13" xr3:uid="{EF30168D-B6A9-4575-B0E8-99638D271C72}" name="HourlyRate"/>
    <tableColumn id="14" xr3:uid="{5B53ED62-E980-4F5A-8B11-798F970535EE}" name="JobInvolvement"/>
    <tableColumn id="15" xr3:uid="{F7125B14-9899-4049-A11C-4E577966E7AF}" name="JobLevel"/>
    <tableColumn id="16" xr3:uid="{6CC4F7AB-3B3A-40ED-A7E2-D17B4683C61B}" name="JobRole"/>
    <tableColumn id="17" xr3:uid="{7A83D3F6-6389-4183-AD94-AA574023D463}" name="JobSatisfaction"/>
    <tableColumn id="18" xr3:uid="{75C2CBE4-FEEC-4BD9-9E7B-74527F381192}" name="MaritalStatus"/>
    <tableColumn id="19" xr3:uid="{E85C6210-9A5C-41B8-8160-C4C1B5219629}" name="MonthlyIncome"/>
    <tableColumn id="20" xr3:uid="{4A57E191-66AF-41ED-9B40-84D7A61F1812}" name="MonthlyRate"/>
    <tableColumn id="21" xr3:uid="{F082201A-BC45-4B0A-A0E8-4AE3BB2D3397}" name="NumCompaniesWorked"/>
    <tableColumn id="22" xr3:uid="{2A6F584D-E066-481F-8B12-EA4680079F71}" name="Over18"/>
    <tableColumn id="23" xr3:uid="{9945AA8E-3C46-4FA7-B08E-B2BE5655457C}" name="OverTime"/>
    <tableColumn id="24" xr3:uid="{CEAF9696-73DC-4FC0-A8F0-7E48C3A49B5E}" name="PercentSalaryHike"/>
    <tableColumn id="25" xr3:uid="{AC871897-1D16-4A29-862C-C7E4CDBE21B3}" name="PerformanceRating"/>
    <tableColumn id="26" xr3:uid="{9353A721-2AA0-4BCF-9488-6F2998F21758}" name="RelationshipSatisfaction"/>
    <tableColumn id="27" xr3:uid="{76F20045-C698-47A6-A4D1-7C86982AE9D6}" name="StandardHours"/>
    <tableColumn id="28" xr3:uid="{3470CA25-E75B-4D22-BE81-F46CECBD3700}" name="StockOptionLevel"/>
    <tableColumn id="29" xr3:uid="{19517714-80C2-49F5-BEFE-615DE6CD6F0D}" name="TotalWorkingYears"/>
    <tableColumn id="30" xr3:uid="{8B66DECA-F247-4425-BF7B-AC7290217AE8}" name="TrainingTimesLastYear"/>
    <tableColumn id="31" xr3:uid="{4DF39F00-3DD1-4615-9FFE-675B5889A3F5}" name="WorkLifeBalance"/>
    <tableColumn id="32" xr3:uid="{FDEA06DD-86D8-45E7-9111-5FFBA258FFFD}" name="YearsAtCompany"/>
    <tableColumn id="33" xr3:uid="{898D6B9A-0FC8-4F05-BD8A-327E2021008A}" name="YearsInCurrentRole"/>
    <tableColumn id="34" xr3:uid="{98666BEB-240C-4043-BAC8-336947B81D7A}" name="YearsSinceLastPromotion"/>
    <tableColumn id="35" xr3:uid="{FF8549C4-F08B-4A7E-A773-94F059057749}" name="YearsWithCurrManager"/>
    <tableColumn id="36" xr3:uid="{729EA3E2-A257-4748-A8E7-E88F7A43D961}" name="Attrition Numeric" dataDxfId="4" totalsRowDxfId="3">
      <calculatedColumnFormula>IF(HR_Data[[#This Row],[Attrition]]="Yes",1,0)</calculatedColumnFormula>
    </tableColumn>
    <tableColumn id="38" xr3:uid="{9E8C080A-CE2F-412A-B65C-A670C86408F9}" name="Age Group" dataDxfId="2" totalsRowDxfId="1">
      <calculatedColumnFormula>_xlfn.IFS(AND(HR_Data[[#This Row],[Age]]&gt;=18,HR_Data[[#This Row],[Age]]&lt;=25),"18-25",AND(HR_Data[[#This Row],[Age]]&gt;=26,HR_Data[[#This Row],[Age]]&lt;=35),"26-35",AND(HR_Data[[#This Row],[Age]]&gt;=36,HR_Data[[#This Row],[Age]]&lt;=45),"36-45",HR_Data[[#This Row],[Age]]&gt;45,"45+")</calculatedColumnFormula>
    </tableColumn>
    <tableColumn id="39" xr3:uid="{031F482D-E4C0-4CF6-8851-EEAF2BA1E58E}" name="Tenure Group" dataDxfId="0">
      <calculatedColumnFormula>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A89E3-0B43-47B2-8DE3-2FCDEDB1240B}">
  <dimension ref="A1:AL1471"/>
  <sheetViews>
    <sheetView topLeftCell="Z1" zoomScale="85" zoomScaleNormal="85" workbookViewId="0">
      <selection activeCell="AK3" sqref="AK3"/>
    </sheetView>
  </sheetViews>
  <sheetFormatPr defaultRowHeight="14.4" x14ac:dyDescent="0.3"/>
  <cols>
    <col min="2" max="2" width="13.109375" customWidth="1"/>
    <col min="3" max="3" width="18.5546875" customWidth="1"/>
    <col min="4" max="4" width="15.21875" customWidth="1"/>
    <col min="5" max="5" width="24.33203125" customWidth="1"/>
    <col min="6" max="6" width="21" customWidth="1"/>
    <col min="7" max="7" width="18" customWidth="1"/>
    <col min="8" max="8" width="20.88671875" customWidth="1"/>
    <col min="9" max="9" width="15.77734375" customWidth="1"/>
    <col min="10" max="10" width="23" customWidth="1"/>
    <col min="11" max="11" width="28.33203125" customWidth="1"/>
    <col min="12" max="12" width="11.109375" customWidth="1"/>
    <col min="13" max="13" width="19.6640625" customWidth="1"/>
    <col min="14" max="14" width="15.88671875" customWidth="1"/>
    <col min="15" max="15" width="13.6640625" customWidth="1"/>
    <col min="16" max="16" width="15.5546875" customWidth="1"/>
    <col min="17" max="17" width="20.33203125" customWidth="1"/>
    <col min="18" max="18" width="13.6640625" customWidth="1"/>
    <col min="19" max="19" width="15.88671875" customWidth="1"/>
    <col min="20" max="20" width="13.44140625" customWidth="1"/>
    <col min="21" max="21" width="22.44140625" customWidth="1"/>
    <col min="22" max="22" width="14.77734375" customWidth="1"/>
    <col min="23" max="23" width="16" customWidth="1"/>
    <col min="24" max="24" width="17.77734375" customWidth="1"/>
    <col min="25" max="25" width="18.6640625" customWidth="1"/>
    <col min="26" max="26" width="22.5546875" customWidth="1"/>
    <col min="27" max="27" width="14.77734375" customWidth="1"/>
    <col min="28" max="28" width="17.21875" customWidth="1"/>
    <col min="29" max="29" width="18.21875" customWidth="1"/>
    <col min="30" max="30" width="21.109375" customWidth="1"/>
    <col min="31" max="31" width="16.6640625" customWidth="1"/>
    <col min="32" max="32" width="16.77734375" customWidth="1"/>
    <col min="33" max="33" width="18.77734375" customWidth="1"/>
    <col min="34" max="34" width="23.5546875" customWidth="1"/>
    <col min="35" max="37" width="22" customWidth="1"/>
    <col min="38" max="38" width="21.44140625" customWidth="1"/>
    <col min="39" max="39" width="22.6640625" customWidth="1"/>
    <col min="40" max="40" width="19.21875"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c r="AL1" t="s">
        <v>64</v>
      </c>
    </row>
    <row r="2" spans="1:38"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f>IF(HR_Data[[#This Row],[Attrition]]="Yes",1,0)</f>
        <v>1</v>
      </c>
      <c r="AK2" t="str">
        <f>_xlfn.IFS(AND(HR_Data[[#This Row],[Age]]&gt;=18,HR_Data[[#This Row],[Age]]&lt;=25),"18-25",AND(HR_Data[[#This Row],[Age]]&gt;=26,HR_Data[[#This Row],[Age]]&lt;=35),"26-35",AND(HR_Data[[#This Row],[Age]]&gt;=36,HR_Data[[#This Row],[Age]]&lt;=45),"36-45",HR_Data[[#This Row],[Age]]&gt;45,"45+")</f>
        <v>36-45</v>
      </c>
      <c r="AL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 spans="1:38"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f>IF(HR_Data[[#This Row],[Attrition]]="Yes",1,0)</f>
        <v>0</v>
      </c>
      <c r="AK3" t="str">
        <f>_xlfn.IFS(AND(HR_Data[[#This Row],[Age]]&gt;=18,HR_Data[[#This Row],[Age]]&lt;=25),"18-25",AND(HR_Data[[#This Row],[Age]]&gt;=26,HR_Data[[#This Row],[Age]]&lt;=35),"26-35",AND(HR_Data[[#This Row],[Age]]&gt;=36,HR_Data[[#This Row],[Age]]&lt;=45),"36-45",HR_Data[[#This Row],[Age]]&gt;45,"45+")</f>
        <v>45+</v>
      </c>
      <c r="AL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 spans="1:38"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f>IF(HR_Data[[#This Row],[Attrition]]="Yes",1,0)</f>
        <v>1</v>
      </c>
      <c r="AK4" t="str">
        <f>_xlfn.IFS(AND(HR_Data[[#This Row],[Age]]&gt;=18,HR_Data[[#This Row],[Age]]&lt;=25),"18-25",AND(HR_Data[[#This Row],[Age]]&gt;=26,HR_Data[[#This Row],[Age]]&lt;=35),"26-35",AND(HR_Data[[#This Row],[Age]]&gt;=36,HR_Data[[#This Row],[Age]]&lt;=45),"36-45",HR_Data[[#This Row],[Age]]&gt;45,"45+")</f>
        <v>36-45</v>
      </c>
      <c r="AL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 spans="1:38"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f>IF(HR_Data[[#This Row],[Attrition]]="Yes",1,0)</f>
        <v>0</v>
      </c>
      <c r="AK5" t="str">
        <f>_xlfn.IFS(AND(HR_Data[[#This Row],[Age]]&gt;=18,HR_Data[[#This Row],[Age]]&lt;=25),"18-25",AND(HR_Data[[#This Row],[Age]]&gt;=26,HR_Data[[#This Row],[Age]]&lt;=35),"26-35",AND(HR_Data[[#This Row],[Age]]&gt;=36,HR_Data[[#This Row],[Age]]&lt;=45),"36-45",HR_Data[[#This Row],[Age]]&gt;45,"45+")</f>
        <v>26-35</v>
      </c>
      <c r="AL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 spans="1:38"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f>IF(HR_Data[[#This Row],[Attrition]]="Yes",1,0)</f>
        <v>0</v>
      </c>
      <c r="AK6" t="str">
        <f>_xlfn.IFS(AND(HR_Data[[#This Row],[Age]]&gt;=18,HR_Data[[#This Row],[Age]]&lt;=25),"18-25",AND(HR_Data[[#This Row],[Age]]&gt;=26,HR_Data[[#This Row],[Age]]&lt;=35),"26-35",AND(HR_Data[[#This Row],[Age]]&gt;=36,HR_Data[[#This Row],[Age]]&lt;=45),"36-45",HR_Data[[#This Row],[Age]]&gt;45,"45+")</f>
        <v>26-35</v>
      </c>
      <c r="AL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 spans="1:38"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f>IF(HR_Data[[#This Row],[Attrition]]="Yes",1,0)</f>
        <v>0</v>
      </c>
      <c r="AK7" t="str">
        <f>_xlfn.IFS(AND(HR_Data[[#This Row],[Age]]&gt;=18,HR_Data[[#This Row],[Age]]&lt;=25),"18-25",AND(HR_Data[[#This Row],[Age]]&gt;=26,HR_Data[[#This Row],[Age]]&lt;=35),"26-35",AND(HR_Data[[#This Row],[Age]]&gt;=36,HR_Data[[#This Row],[Age]]&lt;=45),"36-45",HR_Data[[#This Row],[Age]]&gt;45,"45+")</f>
        <v>26-35</v>
      </c>
      <c r="AL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 spans="1:38"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f>IF(HR_Data[[#This Row],[Attrition]]="Yes",1,0)</f>
        <v>0</v>
      </c>
      <c r="AK8" t="str">
        <f>_xlfn.IFS(AND(HR_Data[[#This Row],[Age]]&gt;=18,HR_Data[[#This Row],[Age]]&lt;=25),"18-25",AND(HR_Data[[#This Row],[Age]]&gt;=26,HR_Data[[#This Row],[Age]]&lt;=35),"26-35",AND(HR_Data[[#This Row],[Age]]&gt;=36,HR_Data[[#This Row],[Age]]&lt;=45),"36-45",HR_Data[[#This Row],[Age]]&gt;45,"45+")</f>
        <v>45+</v>
      </c>
      <c r="AL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 spans="1:38"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f>IF(HR_Data[[#This Row],[Attrition]]="Yes",1,0)</f>
        <v>0</v>
      </c>
      <c r="AK9" t="str">
        <f>_xlfn.IFS(AND(HR_Data[[#This Row],[Age]]&gt;=18,HR_Data[[#This Row],[Age]]&lt;=25),"18-25",AND(HR_Data[[#This Row],[Age]]&gt;=26,HR_Data[[#This Row],[Age]]&lt;=35),"26-35",AND(HR_Data[[#This Row],[Age]]&gt;=36,HR_Data[[#This Row],[Age]]&lt;=45),"36-45",HR_Data[[#This Row],[Age]]&gt;45,"45+")</f>
        <v>26-35</v>
      </c>
      <c r="AL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 spans="1:38"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f>IF(HR_Data[[#This Row],[Attrition]]="Yes",1,0)</f>
        <v>0</v>
      </c>
      <c r="AK10" t="str">
        <f>_xlfn.IFS(AND(HR_Data[[#This Row],[Age]]&gt;=18,HR_Data[[#This Row],[Age]]&lt;=25),"18-25",AND(HR_Data[[#This Row],[Age]]&gt;=26,HR_Data[[#This Row],[Age]]&lt;=35),"26-35",AND(HR_Data[[#This Row],[Age]]&gt;=36,HR_Data[[#This Row],[Age]]&lt;=45),"36-45",HR_Data[[#This Row],[Age]]&gt;45,"45+")</f>
        <v>36-45</v>
      </c>
      <c r="AL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 spans="1:38"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f>IF(HR_Data[[#This Row],[Attrition]]="Yes",1,0)</f>
        <v>0</v>
      </c>
      <c r="AK11" t="str">
        <f>_xlfn.IFS(AND(HR_Data[[#This Row],[Age]]&gt;=18,HR_Data[[#This Row],[Age]]&lt;=25),"18-25",AND(HR_Data[[#This Row],[Age]]&gt;=26,HR_Data[[#This Row],[Age]]&lt;=35),"26-35",AND(HR_Data[[#This Row],[Age]]&gt;=36,HR_Data[[#This Row],[Age]]&lt;=45),"36-45",HR_Data[[#This Row],[Age]]&gt;45,"45+")</f>
        <v>36-45</v>
      </c>
      <c r="AL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 spans="1:38"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f>IF(HR_Data[[#This Row],[Attrition]]="Yes",1,0)</f>
        <v>0</v>
      </c>
      <c r="AK12" t="str">
        <f>_xlfn.IFS(AND(HR_Data[[#This Row],[Age]]&gt;=18,HR_Data[[#This Row],[Age]]&lt;=25),"18-25",AND(HR_Data[[#This Row],[Age]]&gt;=26,HR_Data[[#This Row],[Age]]&lt;=35),"26-35",AND(HR_Data[[#This Row],[Age]]&gt;=36,HR_Data[[#This Row],[Age]]&lt;=45),"36-45",HR_Data[[#This Row],[Age]]&gt;45,"45+")</f>
        <v>26-35</v>
      </c>
      <c r="AL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 spans="1:38"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f>IF(HR_Data[[#This Row],[Attrition]]="Yes",1,0)</f>
        <v>0</v>
      </c>
      <c r="AK13" t="str">
        <f>_xlfn.IFS(AND(HR_Data[[#This Row],[Age]]&gt;=18,HR_Data[[#This Row],[Age]]&lt;=25),"18-25",AND(HR_Data[[#This Row],[Age]]&gt;=26,HR_Data[[#This Row],[Age]]&lt;=35),"26-35",AND(HR_Data[[#This Row],[Age]]&gt;=36,HR_Data[[#This Row],[Age]]&lt;=45),"36-45",HR_Data[[#This Row],[Age]]&gt;45,"45+")</f>
        <v>26-35</v>
      </c>
      <c r="AL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 spans="1:38"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f>IF(HR_Data[[#This Row],[Attrition]]="Yes",1,0)</f>
        <v>0</v>
      </c>
      <c r="AK14" t="str">
        <f>_xlfn.IFS(AND(HR_Data[[#This Row],[Age]]&gt;=18,HR_Data[[#This Row],[Age]]&lt;=25),"18-25",AND(HR_Data[[#This Row],[Age]]&gt;=26,HR_Data[[#This Row],[Age]]&lt;=35),"26-35",AND(HR_Data[[#This Row],[Age]]&gt;=36,HR_Data[[#This Row],[Age]]&lt;=45),"36-45",HR_Data[[#This Row],[Age]]&gt;45,"45+")</f>
        <v>26-35</v>
      </c>
      <c r="AL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5" spans="1:38"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f>IF(HR_Data[[#This Row],[Attrition]]="Yes",1,0)</f>
        <v>0</v>
      </c>
      <c r="AK15" t="str">
        <f>_xlfn.IFS(AND(HR_Data[[#This Row],[Age]]&gt;=18,HR_Data[[#This Row],[Age]]&lt;=25),"18-25",AND(HR_Data[[#This Row],[Age]]&gt;=26,HR_Data[[#This Row],[Age]]&lt;=35),"26-35",AND(HR_Data[[#This Row],[Age]]&gt;=36,HR_Data[[#This Row],[Age]]&lt;=45),"36-45",HR_Data[[#This Row],[Age]]&gt;45,"45+")</f>
        <v>26-35</v>
      </c>
      <c r="AL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6" spans="1:38"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f>IF(HR_Data[[#This Row],[Attrition]]="Yes",1,0)</f>
        <v>1</v>
      </c>
      <c r="AK16" t="str">
        <f>_xlfn.IFS(AND(HR_Data[[#This Row],[Age]]&gt;=18,HR_Data[[#This Row],[Age]]&lt;=25),"18-25",AND(HR_Data[[#This Row],[Age]]&gt;=26,HR_Data[[#This Row],[Age]]&lt;=35),"26-35",AND(HR_Data[[#This Row],[Age]]&gt;=36,HR_Data[[#This Row],[Age]]&lt;=45),"36-45",HR_Data[[#This Row],[Age]]&gt;45,"45+")</f>
        <v>26-35</v>
      </c>
      <c r="AL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7" spans="1:38"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f>IF(HR_Data[[#This Row],[Attrition]]="Yes",1,0)</f>
        <v>0</v>
      </c>
      <c r="AK17" t="str">
        <f>_xlfn.IFS(AND(HR_Data[[#This Row],[Age]]&gt;=18,HR_Data[[#This Row],[Age]]&lt;=25),"18-25",AND(HR_Data[[#This Row],[Age]]&gt;=26,HR_Data[[#This Row],[Age]]&lt;=35),"26-35",AND(HR_Data[[#This Row],[Age]]&gt;=36,HR_Data[[#This Row],[Age]]&lt;=45),"36-45",HR_Data[[#This Row],[Age]]&gt;45,"45+")</f>
        <v>26-35</v>
      </c>
      <c r="AL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8" spans="1:38"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f>IF(HR_Data[[#This Row],[Attrition]]="Yes",1,0)</f>
        <v>0</v>
      </c>
      <c r="AK18" t="str">
        <f>_xlfn.IFS(AND(HR_Data[[#This Row],[Age]]&gt;=18,HR_Data[[#This Row],[Age]]&lt;=25),"18-25",AND(HR_Data[[#This Row],[Age]]&gt;=26,HR_Data[[#This Row],[Age]]&lt;=35),"26-35",AND(HR_Data[[#This Row],[Age]]&gt;=36,HR_Data[[#This Row],[Age]]&lt;=45),"36-45",HR_Data[[#This Row],[Age]]&gt;45,"45+")</f>
        <v>26-35</v>
      </c>
      <c r="AL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9" spans="1:38"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f>IF(HR_Data[[#This Row],[Attrition]]="Yes",1,0)</f>
        <v>0</v>
      </c>
      <c r="AK19" t="str">
        <f>_xlfn.IFS(AND(HR_Data[[#This Row],[Age]]&gt;=18,HR_Data[[#This Row],[Age]]&lt;=25),"18-25",AND(HR_Data[[#This Row],[Age]]&gt;=26,HR_Data[[#This Row],[Age]]&lt;=35),"26-35",AND(HR_Data[[#This Row],[Age]]&gt;=36,HR_Data[[#This Row],[Age]]&lt;=45),"36-45",HR_Data[[#This Row],[Age]]&gt;45,"45+")</f>
        <v>18-25</v>
      </c>
      <c r="AL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0" spans="1:38"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f>IF(HR_Data[[#This Row],[Attrition]]="Yes",1,0)</f>
        <v>0</v>
      </c>
      <c r="AK20" t="str">
        <f>_xlfn.IFS(AND(HR_Data[[#This Row],[Age]]&gt;=18,HR_Data[[#This Row],[Age]]&lt;=25),"18-25",AND(HR_Data[[#This Row],[Age]]&gt;=26,HR_Data[[#This Row],[Age]]&lt;=35),"26-35",AND(HR_Data[[#This Row],[Age]]&gt;=36,HR_Data[[#This Row],[Age]]&lt;=45),"36-45",HR_Data[[#This Row],[Age]]&gt;45,"45+")</f>
        <v>45+</v>
      </c>
      <c r="AL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1" spans="1:38"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f>IF(HR_Data[[#This Row],[Attrition]]="Yes",1,0)</f>
        <v>0</v>
      </c>
      <c r="AK21" t="str">
        <f>_xlfn.IFS(AND(HR_Data[[#This Row],[Age]]&gt;=18,HR_Data[[#This Row],[Age]]&lt;=25),"18-25",AND(HR_Data[[#This Row],[Age]]&gt;=26,HR_Data[[#This Row],[Age]]&lt;=35),"26-35",AND(HR_Data[[#This Row],[Age]]&gt;=36,HR_Data[[#This Row],[Age]]&lt;=45),"36-45",HR_Data[[#This Row],[Age]]&gt;45,"45+")</f>
        <v>36-45</v>
      </c>
      <c r="AL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2" spans="1:38"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f>IF(HR_Data[[#This Row],[Attrition]]="Yes",1,0)</f>
        <v>0</v>
      </c>
      <c r="AK22" t="str">
        <f>_xlfn.IFS(AND(HR_Data[[#This Row],[Age]]&gt;=18,HR_Data[[#This Row],[Age]]&lt;=25),"18-25",AND(HR_Data[[#This Row],[Age]]&gt;=26,HR_Data[[#This Row],[Age]]&lt;=35),"26-35",AND(HR_Data[[#This Row],[Age]]&gt;=36,HR_Data[[#This Row],[Age]]&lt;=45),"36-45",HR_Data[[#This Row],[Age]]&gt;45,"45+")</f>
        <v>18-25</v>
      </c>
      <c r="AL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3" spans="1:38"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f>IF(HR_Data[[#This Row],[Attrition]]="Yes",1,0)</f>
        <v>1</v>
      </c>
      <c r="AK23" t="str">
        <f>_xlfn.IFS(AND(HR_Data[[#This Row],[Age]]&gt;=18,HR_Data[[#This Row],[Age]]&lt;=25),"18-25",AND(HR_Data[[#This Row],[Age]]&gt;=26,HR_Data[[#This Row],[Age]]&lt;=35),"26-35",AND(HR_Data[[#This Row],[Age]]&gt;=36,HR_Data[[#This Row],[Age]]&lt;=45),"36-45",HR_Data[[#This Row],[Age]]&gt;45,"45+")</f>
        <v>36-45</v>
      </c>
      <c r="AL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4" spans="1:38"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f>IF(HR_Data[[#This Row],[Attrition]]="Yes",1,0)</f>
        <v>0</v>
      </c>
      <c r="AK24" t="str">
        <f>_xlfn.IFS(AND(HR_Data[[#This Row],[Age]]&gt;=18,HR_Data[[#This Row],[Age]]&lt;=25),"18-25",AND(HR_Data[[#This Row],[Age]]&gt;=26,HR_Data[[#This Row],[Age]]&lt;=35),"26-35",AND(HR_Data[[#This Row],[Age]]&gt;=36,HR_Data[[#This Row],[Age]]&lt;=45),"36-45",HR_Data[[#This Row],[Age]]&gt;45,"45+")</f>
        <v>26-35</v>
      </c>
      <c r="AL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5" spans="1:38"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f>IF(HR_Data[[#This Row],[Attrition]]="Yes",1,0)</f>
        <v>0</v>
      </c>
      <c r="AK25" t="str">
        <f>_xlfn.IFS(AND(HR_Data[[#This Row],[Age]]&gt;=18,HR_Data[[#This Row],[Age]]&lt;=25),"18-25",AND(HR_Data[[#This Row],[Age]]&gt;=26,HR_Data[[#This Row],[Age]]&lt;=35),"26-35",AND(HR_Data[[#This Row],[Age]]&gt;=36,HR_Data[[#This Row],[Age]]&lt;=45),"36-45",HR_Data[[#This Row],[Age]]&gt;45,"45+")</f>
        <v>18-25</v>
      </c>
      <c r="AL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6" spans="1:38"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f>IF(HR_Data[[#This Row],[Attrition]]="Yes",1,0)</f>
        <v>1</v>
      </c>
      <c r="AK26" t="str">
        <f>_xlfn.IFS(AND(HR_Data[[#This Row],[Age]]&gt;=18,HR_Data[[#This Row],[Age]]&lt;=25),"18-25",AND(HR_Data[[#This Row],[Age]]&gt;=26,HR_Data[[#This Row],[Age]]&lt;=35),"26-35",AND(HR_Data[[#This Row],[Age]]&gt;=36,HR_Data[[#This Row],[Age]]&lt;=45),"36-45",HR_Data[[#This Row],[Age]]&gt;45,"45+")</f>
        <v>26-35</v>
      </c>
      <c r="AL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7" spans="1:38"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f>IF(HR_Data[[#This Row],[Attrition]]="Yes",1,0)</f>
        <v>0</v>
      </c>
      <c r="AK27" t="str">
        <f>_xlfn.IFS(AND(HR_Data[[#This Row],[Age]]&gt;=18,HR_Data[[#This Row],[Age]]&lt;=25),"18-25",AND(HR_Data[[#This Row],[Age]]&gt;=26,HR_Data[[#This Row],[Age]]&lt;=35),"26-35",AND(HR_Data[[#This Row],[Age]]&gt;=36,HR_Data[[#This Row],[Age]]&lt;=45),"36-45",HR_Data[[#This Row],[Age]]&gt;45,"45+")</f>
        <v>45+</v>
      </c>
      <c r="AL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8" spans="1:38"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f>IF(HR_Data[[#This Row],[Attrition]]="Yes",1,0)</f>
        <v>1</v>
      </c>
      <c r="AK28" t="str">
        <f>_xlfn.IFS(AND(HR_Data[[#This Row],[Age]]&gt;=18,HR_Data[[#This Row],[Age]]&lt;=25),"18-25",AND(HR_Data[[#This Row],[Age]]&gt;=26,HR_Data[[#This Row],[Age]]&lt;=35),"26-35",AND(HR_Data[[#This Row],[Age]]&gt;=36,HR_Data[[#This Row],[Age]]&lt;=45),"36-45",HR_Data[[#This Row],[Age]]&gt;45,"45+")</f>
        <v>26-35</v>
      </c>
      <c r="AL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9" spans="1:38"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f>IF(HR_Data[[#This Row],[Attrition]]="Yes",1,0)</f>
        <v>0</v>
      </c>
      <c r="AK29" t="str">
        <f>_xlfn.IFS(AND(HR_Data[[#This Row],[Age]]&gt;=18,HR_Data[[#This Row],[Age]]&lt;=25),"18-25",AND(HR_Data[[#This Row],[Age]]&gt;=26,HR_Data[[#This Row],[Age]]&lt;=35),"26-35",AND(HR_Data[[#This Row],[Age]]&gt;=36,HR_Data[[#This Row],[Age]]&lt;=45),"36-45",HR_Data[[#This Row],[Age]]&gt;45,"45+")</f>
        <v>36-45</v>
      </c>
      <c r="AL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0" spans="1:38"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f>IF(HR_Data[[#This Row],[Attrition]]="Yes",1,0)</f>
        <v>0</v>
      </c>
      <c r="AK30" t="str">
        <f>_xlfn.IFS(AND(HR_Data[[#This Row],[Age]]&gt;=18,HR_Data[[#This Row],[Age]]&lt;=25),"18-25",AND(HR_Data[[#This Row],[Age]]&gt;=26,HR_Data[[#This Row],[Age]]&lt;=35),"26-35",AND(HR_Data[[#This Row],[Age]]&gt;=36,HR_Data[[#This Row],[Age]]&lt;=45),"36-45",HR_Data[[#This Row],[Age]]&gt;45,"45+")</f>
        <v>36-45</v>
      </c>
      <c r="AL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1" spans="1:38"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f>IF(HR_Data[[#This Row],[Attrition]]="Yes",1,0)</f>
        <v>0</v>
      </c>
      <c r="AK31" t="str">
        <f>_xlfn.IFS(AND(HR_Data[[#This Row],[Age]]&gt;=18,HR_Data[[#This Row],[Age]]&lt;=25),"18-25",AND(HR_Data[[#This Row],[Age]]&gt;=26,HR_Data[[#This Row],[Age]]&lt;=35),"26-35",AND(HR_Data[[#This Row],[Age]]&gt;=36,HR_Data[[#This Row],[Age]]&lt;=45),"36-45",HR_Data[[#This Row],[Age]]&gt;45,"45+")</f>
        <v>45+</v>
      </c>
      <c r="AL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2" spans="1:38"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f>IF(HR_Data[[#This Row],[Attrition]]="Yes",1,0)</f>
        <v>0</v>
      </c>
      <c r="AK32" t="str">
        <f>_xlfn.IFS(AND(HR_Data[[#This Row],[Age]]&gt;=18,HR_Data[[#This Row],[Age]]&lt;=25),"18-25",AND(HR_Data[[#This Row],[Age]]&gt;=26,HR_Data[[#This Row],[Age]]&lt;=35),"26-35",AND(HR_Data[[#This Row],[Age]]&gt;=36,HR_Data[[#This Row],[Age]]&lt;=45),"36-45",HR_Data[[#This Row],[Age]]&gt;45,"45+")</f>
        <v>26-35</v>
      </c>
      <c r="AL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3" spans="1:38"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f>IF(HR_Data[[#This Row],[Attrition]]="Yes",1,0)</f>
        <v>0</v>
      </c>
      <c r="AK33" t="str">
        <f>_xlfn.IFS(AND(HR_Data[[#This Row],[Age]]&gt;=18,HR_Data[[#This Row],[Age]]&lt;=25),"18-25",AND(HR_Data[[#This Row],[Age]]&gt;=26,HR_Data[[#This Row],[Age]]&lt;=35),"26-35",AND(HR_Data[[#This Row],[Age]]&gt;=36,HR_Data[[#This Row],[Age]]&lt;=45),"36-45",HR_Data[[#This Row],[Age]]&gt;45,"45+")</f>
        <v>36-45</v>
      </c>
      <c r="AL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4" spans="1:38"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f>IF(HR_Data[[#This Row],[Attrition]]="Yes",1,0)</f>
        <v>0</v>
      </c>
      <c r="AK34" t="str">
        <f>_xlfn.IFS(AND(HR_Data[[#This Row],[Age]]&gt;=18,HR_Data[[#This Row],[Age]]&lt;=25),"18-25",AND(HR_Data[[#This Row],[Age]]&gt;=26,HR_Data[[#This Row],[Age]]&lt;=35),"26-35",AND(HR_Data[[#This Row],[Age]]&gt;=36,HR_Data[[#This Row],[Age]]&lt;=45),"36-45",HR_Data[[#This Row],[Age]]&gt;45,"45+")</f>
        <v>26-35</v>
      </c>
      <c r="AL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5" spans="1:38"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f>IF(HR_Data[[#This Row],[Attrition]]="Yes",1,0)</f>
        <v>1</v>
      </c>
      <c r="AK35" t="str">
        <f>_xlfn.IFS(AND(HR_Data[[#This Row],[Age]]&gt;=18,HR_Data[[#This Row],[Age]]&lt;=25),"18-25",AND(HR_Data[[#This Row],[Age]]&gt;=26,HR_Data[[#This Row],[Age]]&lt;=35),"26-35",AND(HR_Data[[#This Row],[Age]]&gt;=36,HR_Data[[#This Row],[Age]]&lt;=45),"36-45",HR_Data[[#This Row],[Age]]&gt;45,"45+")</f>
        <v>36-45</v>
      </c>
      <c r="AL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6" spans="1:38"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f>IF(HR_Data[[#This Row],[Attrition]]="Yes",1,0)</f>
        <v>1</v>
      </c>
      <c r="AK36" t="str">
        <f>_xlfn.IFS(AND(HR_Data[[#This Row],[Age]]&gt;=18,HR_Data[[#This Row],[Age]]&lt;=25),"18-25",AND(HR_Data[[#This Row],[Age]]&gt;=26,HR_Data[[#This Row],[Age]]&lt;=35),"26-35",AND(HR_Data[[#This Row],[Age]]&gt;=36,HR_Data[[#This Row],[Age]]&lt;=45),"36-45",HR_Data[[#This Row],[Age]]&gt;45,"45+")</f>
        <v>18-25</v>
      </c>
      <c r="AL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7" spans="1:38"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f>IF(HR_Data[[#This Row],[Attrition]]="Yes",1,0)</f>
        <v>0</v>
      </c>
      <c r="AK37" t="str">
        <f>_xlfn.IFS(AND(HR_Data[[#This Row],[Age]]&gt;=18,HR_Data[[#This Row],[Age]]&lt;=25),"18-25",AND(HR_Data[[#This Row],[Age]]&gt;=26,HR_Data[[#This Row],[Age]]&lt;=35),"26-35",AND(HR_Data[[#This Row],[Age]]&gt;=36,HR_Data[[#This Row],[Age]]&lt;=45),"36-45",HR_Data[[#This Row],[Age]]&gt;45,"45+")</f>
        <v>36-45</v>
      </c>
      <c r="AL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8" spans="1:38"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f>IF(HR_Data[[#This Row],[Attrition]]="Yes",1,0)</f>
        <v>1</v>
      </c>
      <c r="AK38" t="str">
        <f>_xlfn.IFS(AND(HR_Data[[#This Row],[Age]]&gt;=18,HR_Data[[#This Row],[Age]]&lt;=25),"18-25",AND(HR_Data[[#This Row],[Age]]&gt;=26,HR_Data[[#This Row],[Age]]&lt;=35),"26-35",AND(HR_Data[[#This Row],[Age]]&gt;=36,HR_Data[[#This Row],[Age]]&lt;=45),"36-45",HR_Data[[#This Row],[Age]]&gt;45,"45+")</f>
        <v>45+</v>
      </c>
      <c r="AL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9" spans="1:38"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f>IF(HR_Data[[#This Row],[Attrition]]="Yes",1,0)</f>
        <v>0</v>
      </c>
      <c r="AK39" t="str">
        <f>_xlfn.IFS(AND(HR_Data[[#This Row],[Age]]&gt;=18,HR_Data[[#This Row],[Age]]&lt;=25),"18-25",AND(HR_Data[[#This Row],[Age]]&gt;=26,HR_Data[[#This Row],[Age]]&lt;=35),"26-35",AND(HR_Data[[#This Row],[Age]]&gt;=36,HR_Data[[#This Row],[Age]]&lt;=45),"36-45",HR_Data[[#This Row],[Age]]&gt;45,"45+")</f>
        <v>26-35</v>
      </c>
      <c r="AL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0" spans="1:38"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f>IF(HR_Data[[#This Row],[Attrition]]="Yes",1,0)</f>
        <v>0</v>
      </c>
      <c r="AK40" t="str">
        <f>_xlfn.IFS(AND(HR_Data[[#This Row],[Age]]&gt;=18,HR_Data[[#This Row],[Age]]&lt;=25),"18-25",AND(HR_Data[[#This Row],[Age]]&gt;=26,HR_Data[[#This Row],[Age]]&lt;=35),"26-35",AND(HR_Data[[#This Row],[Age]]&gt;=36,HR_Data[[#This Row],[Age]]&lt;=45),"36-45",HR_Data[[#This Row],[Age]]&gt;45,"45+")</f>
        <v>36-45</v>
      </c>
      <c r="AL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1" spans="1:38"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f>IF(HR_Data[[#This Row],[Attrition]]="Yes",1,0)</f>
        <v>0</v>
      </c>
      <c r="AK41" t="str">
        <f>_xlfn.IFS(AND(HR_Data[[#This Row],[Age]]&gt;=18,HR_Data[[#This Row],[Age]]&lt;=25),"18-25",AND(HR_Data[[#This Row],[Age]]&gt;=26,HR_Data[[#This Row],[Age]]&lt;=35),"26-35",AND(HR_Data[[#This Row],[Age]]&gt;=36,HR_Data[[#This Row],[Age]]&lt;=45),"36-45",HR_Data[[#This Row],[Age]]&gt;45,"45+")</f>
        <v>26-35</v>
      </c>
      <c r="AL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2" spans="1:38"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f>IF(HR_Data[[#This Row],[Attrition]]="Yes",1,0)</f>
        <v>0</v>
      </c>
      <c r="AK42" t="str">
        <f>_xlfn.IFS(AND(HR_Data[[#This Row],[Age]]&gt;=18,HR_Data[[#This Row],[Age]]&lt;=25),"18-25",AND(HR_Data[[#This Row],[Age]]&gt;=26,HR_Data[[#This Row],[Age]]&lt;=35),"26-35",AND(HR_Data[[#This Row],[Age]]&gt;=36,HR_Data[[#This Row],[Age]]&lt;=45),"36-45",HR_Data[[#This Row],[Age]]&gt;45,"45+")</f>
        <v>26-35</v>
      </c>
      <c r="AL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3" spans="1:38"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f>IF(HR_Data[[#This Row],[Attrition]]="Yes",1,0)</f>
        <v>0</v>
      </c>
      <c r="AK43" t="str">
        <f>_xlfn.IFS(AND(HR_Data[[#This Row],[Age]]&gt;=18,HR_Data[[#This Row],[Age]]&lt;=25),"18-25",AND(HR_Data[[#This Row],[Age]]&gt;=26,HR_Data[[#This Row],[Age]]&lt;=35),"26-35",AND(HR_Data[[#This Row],[Age]]&gt;=36,HR_Data[[#This Row],[Age]]&lt;=45),"36-45",HR_Data[[#This Row],[Age]]&gt;45,"45+")</f>
        <v>26-35</v>
      </c>
      <c r="AL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4" spans="1:38"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f>IF(HR_Data[[#This Row],[Attrition]]="Yes",1,0)</f>
        <v>1</v>
      </c>
      <c r="AK44" t="str">
        <f>_xlfn.IFS(AND(HR_Data[[#This Row],[Age]]&gt;=18,HR_Data[[#This Row],[Age]]&lt;=25),"18-25",AND(HR_Data[[#This Row],[Age]]&gt;=26,HR_Data[[#This Row],[Age]]&lt;=35),"26-35",AND(HR_Data[[#This Row],[Age]]&gt;=36,HR_Data[[#This Row],[Age]]&lt;=45),"36-45",HR_Data[[#This Row],[Age]]&gt;45,"45+")</f>
        <v>26-35</v>
      </c>
      <c r="AL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5" spans="1:38"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f>IF(HR_Data[[#This Row],[Attrition]]="Yes",1,0)</f>
        <v>0</v>
      </c>
      <c r="AK45" t="str">
        <f>_xlfn.IFS(AND(HR_Data[[#This Row],[Age]]&gt;=18,HR_Data[[#This Row],[Age]]&lt;=25),"18-25",AND(HR_Data[[#This Row],[Age]]&gt;=26,HR_Data[[#This Row],[Age]]&lt;=35),"26-35",AND(HR_Data[[#This Row],[Age]]&gt;=36,HR_Data[[#This Row],[Age]]&lt;=45),"36-45",HR_Data[[#This Row],[Age]]&gt;45,"45+")</f>
        <v>26-35</v>
      </c>
      <c r="AL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6" spans="1:38"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f>IF(HR_Data[[#This Row],[Attrition]]="Yes",1,0)</f>
        <v>0</v>
      </c>
      <c r="AK46" t="str">
        <f>_xlfn.IFS(AND(HR_Data[[#This Row],[Age]]&gt;=18,HR_Data[[#This Row],[Age]]&lt;=25),"18-25",AND(HR_Data[[#This Row],[Age]]&gt;=26,HR_Data[[#This Row],[Age]]&lt;=35),"26-35",AND(HR_Data[[#This Row],[Age]]&gt;=36,HR_Data[[#This Row],[Age]]&lt;=45),"36-45",HR_Data[[#This Row],[Age]]&gt;45,"45+")</f>
        <v>26-35</v>
      </c>
      <c r="AL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7" spans="1:38"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f>IF(HR_Data[[#This Row],[Attrition]]="Yes",1,0)</f>
        <v>1</v>
      </c>
      <c r="AK47" t="str">
        <f>_xlfn.IFS(AND(HR_Data[[#This Row],[Age]]&gt;=18,HR_Data[[#This Row],[Age]]&lt;=25),"18-25",AND(HR_Data[[#This Row],[Age]]&gt;=26,HR_Data[[#This Row],[Age]]&lt;=35),"26-35",AND(HR_Data[[#This Row],[Age]]&gt;=36,HR_Data[[#This Row],[Age]]&lt;=45),"36-45",HR_Data[[#This Row],[Age]]&gt;45,"45+")</f>
        <v>36-45</v>
      </c>
      <c r="AL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8" spans="1:38"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f>IF(HR_Data[[#This Row],[Attrition]]="Yes",1,0)</f>
        <v>0</v>
      </c>
      <c r="AK48" t="str">
        <f>_xlfn.IFS(AND(HR_Data[[#This Row],[Age]]&gt;=18,HR_Data[[#This Row],[Age]]&lt;=25),"18-25",AND(HR_Data[[#This Row],[Age]]&gt;=26,HR_Data[[#This Row],[Age]]&lt;=35),"26-35",AND(HR_Data[[#This Row],[Age]]&gt;=36,HR_Data[[#This Row],[Age]]&lt;=45),"36-45",HR_Data[[#This Row],[Age]]&gt;45,"45+")</f>
        <v>26-35</v>
      </c>
      <c r="AL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9" spans="1:38"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f>IF(HR_Data[[#This Row],[Attrition]]="Yes",1,0)</f>
        <v>0</v>
      </c>
      <c r="AK49" t="str">
        <f>_xlfn.IFS(AND(HR_Data[[#This Row],[Age]]&gt;=18,HR_Data[[#This Row],[Age]]&lt;=25),"18-25",AND(HR_Data[[#This Row],[Age]]&gt;=26,HR_Data[[#This Row],[Age]]&lt;=35),"26-35",AND(HR_Data[[#This Row],[Age]]&gt;=36,HR_Data[[#This Row],[Age]]&lt;=45),"36-45",HR_Data[[#This Row],[Age]]&gt;45,"45+")</f>
        <v>36-45</v>
      </c>
      <c r="AL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0" spans="1:38"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f>IF(HR_Data[[#This Row],[Attrition]]="Yes",1,0)</f>
        <v>0</v>
      </c>
      <c r="AK50" t="str">
        <f>_xlfn.IFS(AND(HR_Data[[#This Row],[Age]]&gt;=18,HR_Data[[#This Row],[Age]]&lt;=25),"18-25",AND(HR_Data[[#This Row],[Age]]&gt;=26,HR_Data[[#This Row],[Age]]&lt;=35),"26-35",AND(HR_Data[[#This Row],[Age]]&gt;=36,HR_Data[[#This Row],[Age]]&lt;=45),"36-45",HR_Data[[#This Row],[Age]]&gt;45,"45+")</f>
        <v>45+</v>
      </c>
      <c r="AL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1" spans="1:38"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f>IF(HR_Data[[#This Row],[Attrition]]="Yes",1,0)</f>
        <v>0</v>
      </c>
      <c r="AK51" t="str">
        <f>_xlfn.IFS(AND(HR_Data[[#This Row],[Age]]&gt;=18,HR_Data[[#This Row],[Age]]&lt;=25),"18-25",AND(HR_Data[[#This Row],[Age]]&gt;=26,HR_Data[[#This Row],[Age]]&lt;=35),"26-35",AND(HR_Data[[#This Row],[Age]]&gt;=36,HR_Data[[#This Row],[Age]]&lt;=45),"36-45",HR_Data[[#This Row],[Age]]&gt;45,"45+")</f>
        <v>26-35</v>
      </c>
      <c r="AL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2" spans="1:38"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f>IF(HR_Data[[#This Row],[Attrition]]="Yes",1,0)</f>
        <v>1</v>
      </c>
      <c r="AK52" t="str">
        <f>_xlfn.IFS(AND(HR_Data[[#This Row],[Age]]&gt;=18,HR_Data[[#This Row],[Age]]&lt;=25),"18-25",AND(HR_Data[[#This Row],[Age]]&gt;=26,HR_Data[[#This Row],[Age]]&lt;=35),"26-35",AND(HR_Data[[#This Row],[Age]]&gt;=36,HR_Data[[#This Row],[Age]]&lt;=45),"36-45",HR_Data[[#This Row],[Age]]&gt;45,"45+")</f>
        <v>45+</v>
      </c>
      <c r="AL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3" spans="1:38"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f>IF(HR_Data[[#This Row],[Attrition]]="Yes",1,0)</f>
        <v>1</v>
      </c>
      <c r="AK53" t="str">
        <f>_xlfn.IFS(AND(HR_Data[[#This Row],[Age]]&gt;=18,HR_Data[[#This Row],[Age]]&lt;=25),"18-25",AND(HR_Data[[#This Row],[Age]]&gt;=26,HR_Data[[#This Row],[Age]]&lt;=35),"26-35",AND(HR_Data[[#This Row],[Age]]&gt;=36,HR_Data[[#This Row],[Age]]&lt;=45),"36-45",HR_Data[[#This Row],[Age]]&gt;45,"45+")</f>
        <v>26-35</v>
      </c>
      <c r="AL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4" spans="1:38"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f>IF(HR_Data[[#This Row],[Attrition]]="Yes",1,0)</f>
        <v>0</v>
      </c>
      <c r="AK54" t="str">
        <f>_xlfn.IFS(AND(HR_Data[[#This Row],[Age]]&gt;=18,HR_Data[[#This Row],[Age]]&lt;=25),"18-25",AND(HR_Data[[#This Row],[Age]]&gt;=26,HR_Data[[#This Row],[Age]]&lt;=35),"26-35",AND(HR_Data[[#This Row],[Age]]&gt;=36,HR_Data[[#This Row],[Age]]&lt;=45),"36-45",HR_Data[[#This Row],[Age]]&gt;45,"45+")</f>
        <v>36-45</v>
      </c>
      <c r="AL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5" spans="1:38"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f>IF(HR_Data[[#This Row],[Attrition]]="Yes",1,0)</f>
        <v>0</v>
      </c>
      <c r="AK55" t="str">
        <f>_xlfn.IFS(AND(HR_Data[[#This Row],[Age]]&gt;=18,HR_Data[[#This Row],[Age]]&lt;=25),"18-25",AND(HR_Data[[#This Row],[Age]]&gt;=26,HR_Data[[#This Row],[Age]]&lt;=35),"26-35",AND(HR_Data[[#This Row],[Age]]&gt;=36,HR_Data[[#This Row],[Age]]&lt;=45),"36-45",HR_Data[[#This Row],[Age]]&gt;45,"45+")</f>
        <v>26-35</v>
      </c>
      <c r="AL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6" spans="1:38"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f>IF(HR_Data[[#This Row],[Attrition]]="Yes",1,0)</f>
        <v>0</v>
      </c>
      <c r="AK56" t="str">
        <f>_xlfn.IFS(AND(HR_Data[[#This Row],[Age]]&gt;=18,HR_Data[[#This Row],[Age]]&lt;=25),"18-25",AND(HR_Data[[#This Row],[Age]]&gt;=26,HR_Data[[#This Row],[Age]]&lt;=35),"26-35",AND(HR_Data[[#This Row],[Age]]&gt;=36,HR_Data[[#This Row],[Age]]&lt;=45),"36-45",HR_Data[[#This Row],[Age]]&gt;45,"45+")</f>
        <v>26-35</v>
      </c>
      <c r="AL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7" spans="1:38"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f>IF(HR_Data[[#This Row],[Attrition]]="Yes",1,0)</f>
        <v>0</v>
      </c>
      <c r="AK57" t="str">
        <f>_xlfn.IFS(AND(HR_Data[[#This Row],[Age]]&gt;=18,HR_Data[[#This Row],[Age]]&lt;=25),"18-25",AND(HR_Data[[#This Row],[Age]]&gt;=26,HR_Data[[#This Row],[Age]]&lt;=35),"26-35",AND(HR_Data[[#This Row],[Age]]&gt;=36,HR_Data[[#This Row],[Age]]&lt;=45),"36-45",HR_Data[[#This Row],[Age]]&gt;45,"45+")</f>
        <v>26-35</v>
      </c>
      <c r="AL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8" spans="1:38"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f>IF(HR_Data[[#This Row],[Attrition]]="Yes",1,0)</f>
        <v>0</v>
      </c>
      <c r="AK58" t="str">
        <f>_xlfn.IFS(AND(HR_Data[[#This Row],[Age]]&gt;=18,HR_Data[[#This Row],[Age]]&lt;=25),"18-25",AND(HR_Data[[#This Row],[Age]]&gt;=26,HR_Data[[#This Row],[Age]]&lt;=35),"26-35",AND(HR_Data[[#This Row],[Age]]&gt;=36,HR_Data[[#This Row],[Age]]&lt;=45),"36-45",HR_Data[[#This Row],[Age]]&gt;45,"45+")</f>
        <v>26-35</v>
      </c>
      <c r="AL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9" spans="1:38"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f>IF(HR_Data[[#This Row],[Attrition]]="Yes",1,0)</f>
        <v>0</v>
      </c>
      <c r="AK59" t="str">
        <f>_xlfn.IFS(AND(HR_Data[[#This Row],[Age]]&gt;=18,HR_Data[[#This Row],[Age]]&lt;=25),"18-25",AND(HR_Data[[#This Row],[Age]]&gt;=26,HR_Data[[#This Row],[Age]]&lt;=35),"26-35",AND(HR_Data[[#This Row],[Age]]&gt;=36,HR_Data[[#This Row],[Age]]&lt;=45),"36-45",HR_Data[[#This Row],[Age]]&gt;45,"45+")</f>
        <v>26-35</v>
      </c>
      <c r="AL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0" spans="1:38"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f>IF(HR_Data[[#This Row],[Attrition]]="Yes",1,0)</f>
        <v>0</v>
      </c>
      <c r="AK60" t="str">
        <f>_xlfn.IFS(AND(HR_Data[[#This Row],[Age]]&gt;=18,HR_Data[[#This Row],[Age]]&lt;=25),"18-25",AND(HR_Data[[#This Row],[Age]]&gt;=26,HR_Data[[#This Row],[Age]]&lt;=35),"26-35",AND(HR_Data[[#This Row],[Age]]&gt;=36,HR_Data[[#This Row],[Age]]&lt;=45),"36-45",HR_Data[[#This Row],[Age]]&gt;45,"45+")</f>
        <v>26-35</v>
      </c>
      <c r="AL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1" spans="1:38"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f>IF(HR_Data[[#This Row],[Attrition]]="Yes",1,0)</f>
        <v>0</v>
      </c>
      <c r="AK61" t="str">
        <f>_xlfn.IFS(AND(HR_Data[[#This Row],[Age]]&gt;=18,HR_Data[[#This Row],[Age]]&lt;=25),"18-25",AND(HR_Data[[#This Row],[Age]]&gt;=26,HR_Data[[#This Row],[Age]]&lt;=35),"26-35",AND(HR_Data[[#This Row],[Age]]&gt;=36,HR_Data[[#This Row],[Age]]&lt;=45),"36-45",HR_Data[[#This Row],[Age]]&gt;45,"45+")</f>
        <v>36-45</v>
      </c>
      <c r="AL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2" spans="1:38"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f>IF(HR_Data[[#This Row],[Attrition]]="Yes",1,0)</f>
        <v>0</v>
      </c>
      <c r="AK62" t="str">
        <f>_xlfn.IFS(AND(HR_Data[[#This Row],[Age]]&gt;=18,HR_Data[[#This Row],[Age]]&lt;=25),"18-25",AND(HR_Data[[#This Row],[Age]]&gt;=26,HR_Data[[#This Row],[Age]]&lt;=35),"26-35",AND(HR_Data[[#This Row],[Age]]&gt;=36,HR_Data[[#This Row],[Age]]&lt;=45),"36-45",HR_Data[[#This Row],[Age]]&gt;45,"45+")</f>
        <v>26-35</v>
      </c>
      <c r="AL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3" spans="1:38"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f>IF(HR_Data[[#This Row],[Attrition]]="Yes",1,0)</f>
        <v>0</v>
      </c>
      <c r="AK63" t="str">
        <f>_xlfn.IFS(AND(HR_Data[[#This Row],[Age]]&gt;=18,HR_Data[[#This Row],[Age]]&lt;=25),"18-25",AND(HR_Data[[#This Row],[Age]]&gt;=26,HR_Data[[#This Row],[Age]]&lt;=35),"26-35",AND(HR_Data[[#This Row],[Age]]&gt;=36,HR_Data[[#This Row],[Age]]&lt;=45),"36-45",HR_Data[[#This Row],[Age]]&gt;45,"45+")</f>
        <v>36-45</v>
      </c>
      <c r="AL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4" spans="1:38"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f>IF(HR_Data[[#This Row],[Attrition]]="Yes",1,0)</f>
        <v>0</v>
      </c>
      <c r="AK64" t="str">
        <f>_xlfn.IFS(AND(HR_Data[[#This Row],[Age]]&gt;=18,HR_Data[[#This Row],[Age]]&lt;=25),"18-25",AND(HR_Data[[#This Row],[Age]]&gt;=26,HR_Data[[#This Row],[Age]]&lt;=35),"26-35",AND(HR_Data[[#This Row],[Age]]&gt;=36,HR_Data[[#This Row],[Age]]&lt;=45),"36-45",HR_Data[[#This Row],[Age]]&gt;45,"45+")</f>
        <v>45+</v>
      </c>
      <c r="AL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5" spans="1:38"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f>IF(HR_Data[[#This Row],[Attrition]]="Yes",1,0)</f>
        <v>0</v>
      </c>
      <c r="AK65" t="str">
        <f>_xlfn.IFS(AND(HR_Data[[#This Row],[Age]]&gt;=18,HR_Data[[#This Row],[Age]]&lt;=25),"18-25",AND(HR_Data[[#This Row],[Age]]&gt;=26,HR_Data[[#This Row],[Age]]&lt;=35),"26-35",AND(HR_Data[[#This Row],[Age]]&gt;=36,HR_Data[[#This Row],[Age]]&lt;=45),"36-45",HR_Data[[#This Row],[Age]]&gt;45,"45+")</f>
        <v>45+</v>
      </c>
      <c r="AL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6" spans="1:38"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f>IF(HR_Data[[#This Row],[Attrition]]="Yes",1,0)</f>
        <v>0</v>
      </c>
      <c r="AK66" t="str">
        <f>_xlfn.IFS(AND(HR_Data[[#This Row],[Age]]&gt;=18,HR_Data[[#This Row],[Age]]&lt;=25),"18-25",AND(HR_Data[[#This Row],[Age]]&gt;=26,HR_Data[[#This Row],[Age]]&lt;=35),"26-35",AND(HR_Data[[#This Row],[Age]]&gt;=36,HR_Data[[#This Row],[Age]]&lt;=45),"36-45",HR_Data[[#This Row],[Age]]&gt;45,"45+")</f>
        <v>36-45</v>
      </c>
      <c r="AL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7" spans="1:38"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f>IF(HR_Data[[#This Row],[Attrition]]="Yes",1,0)</f>
        <v>0</v>
      </c>
      <c r="AK67" t="str">
        <f>_xlfn.IFS(AND(HR_Data[[#This Row],[Age]]&gt;=18,HR_Data[[#This Row],[Age]]&lt;=25),"18-25",AND(HR_Data[[#This Row],[Age]]&gt;=26,HR_Data[[#This Row],[Age]]&lt;=35),"26-35",AND(HR_Data[[#This Row],[Age]]&gt;=36,HR_Data[[#This Row],[Age]]&lt;=45),"36-45",HR_Data[[#This Row],[Age]]&gt;45,"45+")</f>
        <v>45+</v>
      </c>
      <c r="AL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8" spans="1:38"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f>IF(HR_Data[[#This Row],[Attrition]]="Yes",1,0)</f>
        <v>0</v>
      </c>
      <c r="AK68" t="str">
        <f>_xlfn.IFS(AND(HR_Data[[#This Row],[Age]]&gt;=18,HR_Data[[#This Row],[Age]]&lt;=25),"18-25",AND(HR_Data[[#This Row],[Age]]&gt;=26,HR_Data[[#This Row],[Age]]&lt;=35),"26-35",AND(HR_Data[[#This Row],[Age]]&gt;=36,HR_Data[[#This Row],[Age]]&lt;=45),"36-45",HR_Data[[#This Row],[Age]]&gt;45,"45+")</f>
        <v>36-45</v>
      </c>
      <c r="AL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9" spans="1:38"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f>IF(HR_Data[[#This Row],[Attrition]]="Yes",1,0)</f>
        <v>0</v>
      </c>
      <c r="AK69" t="str">
        <f>_xlfn.IFS(AND(HR_Data[[#This Row],[Age]]&gt;=18,HR_Data[[#This Row],[Age]]&lt;=25),"18-25",AND(HR_Data[[#This Row],[Age]]&gt;=26,HR_Data[[#This Row],[Age]]&lt;=35),"26-35",AND(HR_Data[[#This Row],[Age]]&gt;=36,HR_Data[[#This Row],[Age]]&lt;=45),"36-45",HR_Data[[#This Row],[Age]]&gt;45,"45+")</f>
        <v>36-45</v>
      </c>
      <c r="AL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0" spans="1:38"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f>IF(HR_Data[[#This Row],[Attrition]]="Yes",1,0)</f>
        <v>0</v>
      </c>
      <c r="AK70" t="str">
        <f>_xlfn.IFS(AND(HR_Data[[#This Row],[Age]]&gt;=18,HR_Data[[#This Row],[Age]]&lt;=25),"18-25",AND(HR_Data[[#This Row],[Age]]&gt;=26,HR_Data[[#This Row],[Age]]&lt;=35),"26-35",AND(HR_Data[[#This Row],[Age]]&gt;=36,HR_Data[[#This Row],[Age]]&lt;=45),"36-45",HR_Data[[#This Row],[Age]]&gt;45,"45+")</f>
        <v>26-35</v>
      </c>
      <c r="AL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1" spans="1:38"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f>IF(HR_Data[[#This Row],[Attrition]]="Yes",1,0)</f>
        <v>1</v>
      </c>
      <c r="AK71" t="str">
        <f>_xlfn.IFS(AND(HR_Data[[#This Row],[Age]]&gt;=18,HR_Data[[#This Row],[Age]]&lt;=25),"18-25",AND(HR_Data[[#This Row],[Age]]&gt;=26,HR_Data[[#This Row],[Age]]&lt;=35),"26-35",AND(HR_Data[[#This Row],[Age]]&gt;=36,HR_Data[[#This Row],[Age]]&lt;=45),"36-45",HR_Data[[#This Row],[Age]]&gt;45,"45+")</f>
        <v>36-45</v>
      </c>
      <c r="AL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2" spans="1:38"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f>IF(HR_Data[[#This Row],[Attrition]]="Yes",1,0)</f>
        <v>0</v>
      </c>
      <c r="AK72" t="str">
        <f>_xlfn.IFS(AND(HR_Data[[#This Row],[Age]]&gt;=18,HR_Data[[#This Row],[Age]]&lt;=25),"18-25",AND(HR_Data[[#This Row],[Age]]&gt;=26,HR_Data[[#This Row],[Age]]&lt;=35),"26-35",AND(HR_Data[[#This Row],[Age]]&gt;=36,HR_Data[[#This Row],[Age]]&lt;=45),"36-45",HR_Data[[#This Row],[Age]]&gt;45,"45+")</f>
        <v>45+</v>
      </c>
      <c r="AL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3" spans="1:38"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f>IF(HR_Data[[#This Row],[Attrition]]="Yes",1,0)</f>
        <v>0</v>
      </c>
      <c r="AK73" t="str">
        <f>_xlfn.IFS(AND(HR_Data[[#This Row],[Age]]&gt;=18,HR_Data[[#This Row],[Age]]&lt;=25),"18-25",AND(HR_Data[[#This Row],[Age]]&gt;=26,HR_Data[[#This Row],[Age]]&lt;=35),"26-35",AND(HR_Data[[#This Row],[Age]]&gt;=36,HR_Data[[#This Row],[Age]]&lt;=45),"36-45",HR_Data[[#This Row],[Age]]&gt;45,"45+")</f>
        <v>26-35</v>
      </c>
      <c r="AL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4" spans="1:38"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f>IF(HR_Data[[#This Row],[Attrition]]="Yes",1,0)</f>
        <v>0</v>
      </c>
      <c r="AK74" t="str">
        <f>_xlfn.IFS(AND(HR_Data[[#This Row],[Age]]&gt;=18,HR_Data[[#This Row],[Age]]&lt;=25),"18-25",AND(HR_Data[[#This Row],[Age]]&gt;=26,HR_Data[[#This Row],[Age]]&lt;=35),"26-35",AND(HR_Data[[#This Row],[Age]]&gt;=36,HR_Data[[#This Row],[Age]]&lt;=45),"36-45",HR_Data[[#This Row],[Age]]&gt;45,"45+")</f>
        <v>26-35</v>
      </c>
      <c r="AL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5" spans="1:38"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f>IF(HR_Data[[#This Row],[Attrition]]="Yes",1,0)</f>
        <v>0</v>
      </c>
      <c r="AK75" t="str">
        <f>_xlfn.IFS(AND(HR_Data[[#This Row],[Age]]&gt;=18,HR_Data[[#This Row],[Age]]&lt;=25),"18-25",AND(HR_Data[[#This Row],[Age]]&gt;=26,HR_Data[[#This Row],[Age]]&lt;=35),"26-35",AND(HR_Data[[#This Row],[Age]]&gt;=36,HR_Data[[#This Row],[Age]]&lt;=45),"36-45",HR_Data[[#This Row],[Age]]&gt;45,"45+")</f>
        <v>26-35</v>
      </c>
      <c r="AL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6" spans="1:38"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f>IF(HR_Data[[#This Row],[Attrition]]="Yes",1,0)</f>
        <v>0</v>
      </c>
      <c r="AK76" t="str">
        <f>_xlfn.IFS(AND(HR_Data[[#This Row],[Age]]&gt;=18,HR_Data[[#This Row],[Age]]&lt;=25),"18-25",AND(HR_Data[[#This Row],[Age]]&gt;=26,HR_Data[[#This Row],[Age]]&lt;=35),"26-35",AND(HR_Data[[#This Row],[Age]]&gt;=36,HR_Data[[#This Row],[Age]]&lt;=45),"36-45",HR_Data[[#This Row],[Age]]&gt;45,"45+")</f>
        <v>36-45</v>
      </c>
      <c r="AL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7" spans="1:38"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f>IF(HR_Data[[#This Row],[Attrition]]="Yes",1,0)</f>
        <v>0</v>
      </c>
      <c r="AK77" t="str">
        <f>_xlfn.IFS(AND(HR_Data[[#This Row],[Age]]&gt;=18,HR_Data[[#This Row],[Age]]&lt;=25),"18-25",AND(HR_Data[[#This Row],[Age]]&gt;=26,HR_Data[[#This Row],[Age]]&lt;=35),"26-35",AND(HR_Data[[#This Row],[Age]]&gt;=36,HR_Data[[#This Row],[Age]]&lt;=45),"36-45",HR_Data[[#This Row],[Age]]&gt;45,"45+")</f>
        <v>26-35</v>
      </c>
      <c r="AL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8" spans="1:38"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f>IF(HR_Data[[#This Row],[Attrition]]="Yes",1,0)</f>
        <v>0</v>
      </c>
      <c r="AK78" t="str">
        <f>_xlfn.IFS(AND(HR_Data[[#This Row],[Age]]&gt;=18,HR_Data[[#This Row],[Age]]&lt;=25),"18-25",AND(HR_Data[[#This Row],[Age]]&gt;=26,HR_Data[[#This Row],[Age]]&lt;=35),"26-35",AND(HR_Data[[#This Row],[Age]]&gt;=36,HR_Data[[#This Row],[Age]]&lt;=45),"36-45",HR_Data[[#This Row],[Age]]&gt;45,"45+")</f>
        <v>26-35</v>
      </c>
      <c r="AL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9" spans="1:38"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f>IF(HR_Data[[#This Row],[Attrition]]="Yes",1,0)</f>
        <v>0</v>
      </c>
      <c r="AK79" t="str">
        <f>_xlfn.IFS(AND(HR_Data[[#This Row],[Age]]&gt;=18,HR_Data[[#This Row],[Age]]&lt;=25),"18-25",AND(HR_Data[[#This Row],[Age]]&gt;=26,HR_Data[[#This Row],[Age]]&lt;=35),"26-35",AND(HR_Data[[#This Row],[Age]]&gt;=36,HR_Data[[#This Row],[Age]]&lt;=45),"36-45",HR_Data[[#This Row],[Age]]&gt;45,"45+")</f>
        <v>36-45</v>
      </c>
      <c r="AL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0" spans="1:38"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f>IF(HR_Data[[#This Row],[Attrition]]="Yes",1,0)</f>
        <v>0</v>
      </c>
      <c r="AK80" t="str">
        <f>_xlfn.IFS(AND(HR_Data[[#This Row],[Age]]&gt;=18,HR_Data[[#This Row],[Age]]&lt;=25),"18-25",AND(HR_Data[[#This Row],[Age]]&gt;=26,HR_Data[[#This Row],[Age]]&lt;=35),"26-35",AND(HR_Data[[#This Row],[Age]]&gt;=36,HR_Data[[#This Row],[Age]]&lt;=45),"36-45",HR_Data[[#This Row],[Age]]&gt;45,"45+")</f>
        <v>36-45</v>
      </c>
      <c r="AL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1" spans="1:38"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f>IF(HR_Data[[#This Row],[Attrition]]="Yes",1,0)</f>
        <v>0</v>
      </c>
      <c r="AK81" t="str">
        <f>_xlfn.IFS(AND(HR_Data[[#This Row],[Age]]&gt;=18,HR_Data[[#This Row],[Age]]&lt;=25),"18-25",AND(HR_Data[[#This Row],[Age]]&gt;=26,HR_Data[[#This Row],[Age]]&lt;=35),"26-35",AND(HR_Data[[#This Row],[Age]]&gt;=36,HR_Data[[#This Row],[Age]]&lt;=45),"36-45",HR_Data[[#This Row],[Age]]&gt;45,"45+")</f>
        <v>45+</v>
      </c>
      <c r="AL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2" spans="1:38"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f>IF(HR_Data[[#This Row],[Attrition]]="Yes",1,0)</f>
        <v>0</v>
      </c>
      <c r="AK82" t="str">
        <f>_xlfn.IFS(AND(HR_Data[[#This Row],[Age]]&gt;=18,HR_Data[[#This Row],[Age]]&lt;=25),"18-25",AND(HR_Data[[#This Row],[Age]]&gt;=26,HR_Data[[#This Row],[Age]]&lt;=35),"26-35",AND(HR_Data[[#This Row],[Age]]&gt;=36,HR_Data[[#This Row],[Age]]&lt;=45),"36-45",HR_Data[[#This Row],[Age]]&gt;45,"45+")</f>
        <v>26-35</v>
      </c>
      <c r="AL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3" spans="1:38"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f>IF(HR_Data[[#This Row],[Attrition]]="Yes",1,0)</f>
        <v>0</v>
      </c>
      <c r="AK83" t="str">
        <f>_xlfn.IFS(AND(HR_Data[[#This Row],[Age]]&gt;=18,HR_Data[[#This Row],[Age]]&lt;=25),"18-25",AND(HR_Data[[#This Row],[Age]]&gt;=26,HR_Data[[#This Row],[Age]]&lt;=35),"26-35",AND(HR_Data[[#This Row],[Age]]&gt;=36,HR_Data[[#This Row],[Age]]&lt;=45),"36-45",HR_Data[[#This Row],[Age]]&gt;45,"45+")</f>
        <v>26-35</v>
      </c>
      <c r="AL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4" spans="1:38"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f>IF(HR_Data[[#This Row],[Attrition]]="Yes",1,0)</f>
        <v>0</v>
      </c>
      <c r="AK84" t="str">
        <f>_xlfn.IFS(AND(HR_Data[[#This Row],[Age]]&gt;=18,HR_Data[[#This Row],[Age]]&lt;=25),"18-25",AND(HR_Data[[#This Row],[Age]]&gt;=26,HR_Data[[#This Row],[Age]]&lt;=35),"26-35",AND(HR_Data[[#This Row],[Age]]&gt;=36,HR_Data[[#This Row],[Age]]&lt;=45),"36-45",HR_Data[[#This Row],[Age]]&gt;45,"45+")</f>
        <v>45+</v>
      </c>
      <c r="AL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5" spans="1:38"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f>IF(HR_Data[[#This Row],[Attrition]]="Yes",1,0)</f>
        <v>0</v>
      </c>
      <c r="AK85" t="str">
        <f>_xlfn.IFS(AND(HR_Data[[#This Row],[Age]]&gt;=18,HR_Data[[#This Row],[Age]]&lt;=25),"18-25",AND(HR_Data[[#This Row],[Age]]&gt;=26,HR_Data[[#This Row],[Age]]&lt;=35),"26-35",AND(HR_Data[[#This Row],[Age]]&gt;=36,HR_Data[[#This Row],[Age]]&lt;=45),"36-45",HR_Data[[#This Row],[Age]]&gt;45,"45+")</f>
        <v>36-45</v>
      </c>
      <c r="AL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6" spans="1:38"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f>IF(HR_Data[[#This Row],[Attrition]]="Yes",1,0)</f>
        <v>0</v>
      </c>
      <c r="AK86" t="str">
        <f>_xlfn.IFS(AND(HR_Data[[#This Row],[Age]]&gt;=18,HR_Data[[#This Row],[Age]]&lt;=25),"18-25",AND(HR_Data[[#This Row],[Age]]&gt;=26,HR_Data[[#This Row],[Age]]&lt;=35),"26-35",AND(HR_Data[[#This Row],[Age]]&gt;=36,HR_Data[[#This Row],[Age]]&lt;=45),"36-45",HR_Data[[#This Row],[Age]]&gt;45,"45+")</f>
        <v>26-35</v>
      </c>
      <c r="AL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7" spans="1:38"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f>IF(HR_Data[[#This Row],[Attrition]]="Yes",1,0)</f>
        <v>0</v>
      </c>
      <c r="AK87" t="str">
        <f>_xlfn.IFS(AND(HR_Data[[#This Row],[Age]]&gt;=18,HR_Data[[#This Row],[Age]]&lt;=25),"18-25",AND(HR_Data[[#This Row],[Age]]&gt;=26,HR_Data[[#This Row],[Age]]&lt;=35),"26-35",AND(HR_Data[[#This Row],[Age]]&gt;=36,HR_Data[[#This Row],[Age]]&lt;=45),"36-45",HR_Data[[#This Row],[Age]]&gt;45,"45+")</f>
        <v>45+</v>
      </c>
      <c r="AL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8" spans="1:38"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f>IF(HR_Data[[#This Row],[Attrition]]="Yes",1,0)</f>
        <v>0</v>
      </c>
      <c r="AK88" t="str">
        <f>_xlfn.IFS(AND(HR_Data[[#This Row],[Age]]&gt;=18,HR_Data[[#This Row],[Age]]&lt;=25),"18-25",AND(HR_Data[[#This Row],[Age]]&gt;=26,HR_Data[[#This Row],[Age]]&lt;=35),"26-35",AND(HR_Data[[#This Row],[Age]]&gt;=36,HR_Data[[#This Row],[Age]]&lt;=45),"36-45",HR_Data[[#This Row],[Age]]&gt;45,"45+")</f>
        <v>18-25</v>
      </c>
      <c r="AL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9" spans="1:38"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f>IF(HR_Data[[#This Row],[Attrition]]="Yes",1,0)</f>
        <v>0</v>
      </c>
      <c r="AK89" t="str">
        <f>_xlfn.IFS(AND(HR_Data[[#This Row],[Age]]&gt;=18,HR_Data[[#This Row],[Age]]&lt;=25),"18-25",AND(HR_Data[[#This Row],[Age]]&gt;=26,HR_Data[[#This Row],[Age]]&lt;=35),"26-35",AND(HR_Data[[#This Row],[Age]]&gt;=36,HR_Data[[#This Row],[Age]]&lt;=45),"36-45",HR_Data[[#This Row],[Age]]&gt;45,"45+")</f>
        <v>45+</v>
      </c>
      <c r="AL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0" spans="1:38"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f>IF(HR_Data[[#This Row],[Attrition]]="Yes",1,0)</f>
        <v>0</v>
      </c>
      <c r="AK90" t="str">
        <f>_xlfn.IFS(AND(HR_Data[[#This Row],[Age]]&gt;=18,HR_Data[[#This Row],[Age]]&lt;=25),"18-25",AND(HR_Data[[#This Row],[Age]]&gt;=26,HR_Data[[#This Row],[Age]]&lt;=35),"26-35",AND(HR_Data[[#This Row],[Age]]&gt;=36,HR_Data[[#This Row],[Age]]&lt;=45),"36-45",HR_Data[[#This Row],[Age]]&gt;45,"45+")</f>
        <v>26-35</v>
      </c>
      <c r="AL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1" spans="1:38"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f>IF(HR_Data[[#This Row],[Attrition]]="Yes",1,0)</f>
        <v>1</v>
      </c>
      <c r="AK91" t="str">
        <f>_xlfn.IFS(AND(HR_Data[[#This Row],[Age]]&gt;=18,HR_Data[[#This Row],[Age]]&lt;=25),"18-25",AND(HR_Data[[#This Row],[Age]]&gt;=26,HR_Data[[#This Row],[Age]]&lt;=35),"26-35",AND(HR_Data[[#This Row],[Age]]&gt;=36,HR_Data[[#This Row],[Age]]&lt;=45),"36-45",HR_Data[[#This Row],[Age]]&gt;45,"45+")</f>
        <v>45+</v>
      </c>
      <c r="AL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2" spans="1:38"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f>IF(HR_Data[[#This Row],[Attrition]]="Yes",1,0)</f>
        <v>0</v>
      </c>
      <c r="AK92" t="str">
        <f>_xlfn.IFS(AND(HR_Data[[#This Row],[Age]]&gt;=18,HR_Data[[#This Row],[Age]]&lt;=25),"18-25",AND(HR_Data[[#This Row],[Age]]&gt;=26,HR_Data[[#This Row],[Age]]&lt;=35),"26-35",AND(HR_Data[[#This Row],[Age]]&gt;=36,HR_Data[[#This Row],[Age]]&lt;=45),"36-45",HR_Data[[#This Row],[Age]]&gt;45,"45+")</f>
        <v>36-45</v>
      </c>
      <c r="AL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3" spans="1:38"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f>IF(HR_Data[[#This Row],[Attrition]]="Yes",1,0)</f>
        <v>0</v>
      </c>
      <c r="AK93" t="str">
        <f>_xlfn.IFS(AND(HR_Data[[#This Row],[Age]]&gt;=18,HR_Data[[#This Row],[Age]]&lt;=25),"18-25",AND(HR_Data[[#This Row],[Age]]&gt;=26,HR_Data[[#This Row],[Age]]&lt;=35),"26-35",AND(HR_Data[[#This Row],[Age]]&gt;=36,HR_Data[[#This Row],[Age]]&lt;=45),"36-45",HR_Data[[#This Row],[Age]]&gt;45,"45+")</f>
        <v>45+</v>
      </c>
      <c r="AL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4" spans="1:38"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f>IF(HR_Data[[#This Row],[Attrition]]="Yes",1,0)</f>
        <v>0</v>
      </c>
      <c r="AK94" t="str">
        <f>_xlfn.IFS(AND(HR_Data[[#This Row],[Age]]&gt;=18,HR_Data[[#This Row],[Age]]&lt;=25),"18-25",AND(HR_Data[[#This Row],[Age]]&gt;=26,HR_Data[[#This Row],[Age]]&lt;=35),"26-35",AND(HR_Data[[#This Row],[Age]]&gt;=36,HR_Data[[#This Row],[Age]]&lt;=45),"36-45",HR_Data[[#This Row],[Age]]&gt;45,"45+")</f>
        <v>26-35</v>
      </c>
      <c r="AL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5" spans="1:38"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f>IF(HR_Data[[#This Row],[Attrition]]="Yes",1,0)</f>
        <v>0</v>
      </c>
      <c r="AK95" t="str">
        <f>_xlfn.IFS(AND(HR_Data[[#This Row],[Age]]&gt;=18,HR_Data[[#This Row],[Age]]&lt;=25),"18-25",AND(HR_Data[[#This Row],[Age]]&gt;=26,HR_Data[[#This Row],[Age]]&lt;=35),"26-35",AND(HR_Data[[#This Row],[Age]]&gt;=36,HR_Data[[#This Row],[Age]]&lt;=45),"36-45",HR_Data[[#This Row],[Age]]&gt;45,"45+")</f>
        <v>45+</v>
      </c>
      <c r="AL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6" spans="1:38"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f>IF(HR_Data[[#This Row],[Attrition]]="Yes",1,0)</f>
        <v>0</v>
      </c>
      <c r="AK96" t="str">
        <f>_xlfn.IFS(AND(HR_Data[[#This Row],[Age]]&gt;=18,HR_Data[[#This Row],[Age]]&lt;=25),"18-25",AND(HR_Data[[#This Row],[Age]]&gt;=26,HR_Data[[#This Row],[Age]]&lt;=35),"26-35",AND(HR_Data[[#This Row],[Age]]&gt;=36,HR_Data[[#This Row],[Age]]&lt;=45),"36-45",HR_Data[[#This Row],[Age]]&gt;45,"45+")</f>
        <v>26-35</v>
      </c>
      <c r="AL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7" spans="1:38"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f>IF(HR_Data[[#This Row],[Attrition]]="Yes",1,0)</f>
        <v>0</v>
      </c>
      <c r="AK97" t="str">
        <f>_xlfn.IFS(AND(HR_Data[[#This Row],[Age]]&gt;=18,HR_Data[[#This Row],[Age]]&lt;=25),"18-25",AND(HR_Data[[#This Row],[Age]]&gt;=26,HR_Data[[#This Row],[Age]]&lt;=35),"26-35",AND(HR_Data[[#This Row],[Age]]&gt;=36,HR_Data[[#This Row],[Age]]&lt;=45),"36-45",HR_Data[[#This Row],[Age]]&gt;45,"45+")</f>
        <v>45+</v>
      </c>
      <c r="AL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8" spans="1:38"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f>IF(HR_Data[[#This Row],[Attrition]]="Yes",1,0)</f>
        <v>0</v>
      </c>
      <c r="AK98" t="str">
        <f>_xlfn.IFS(AND(HR_Data[[#This Row],[Age]]&gt;=18,HR_Data[[#This Row],[Age]]&lt;=25),"18-25",AND(HR_Data[[#This Row],[Age]]&gt;=26,HR_Data[[#This Row],[Age]]&lt;=35),"26-35",AND(HR_Data[[#This Row],[Age]]&gt;=36,HR_Data[[#This Row],[Age]]&lt;=45),"36-45",HR_Data[[#This Row],[Age]]&gt;45,"45+")</f>
        <v>18-25</v>
      </c>
      <c r="AL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9" spans="1:38"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f>IF(HR_Data[[#This Row],[Attrition]]="Yes",1,0)</f>
        <v>0</v>
      </c>
      <c r="AK99" t="str">
        <f>_xlfn.IFS(AND(HR_Data[[#This Row],[Age]]&gt;=18,HR_Data[[#This Row],[Age]]&lt;=25),"18-25",AND(HR_Data[[#This Row],[Age]]&gt;=26,HR_Data[[#This Row],[Age]]&lt;=35),"26-35",AND(HR_Data[[#This Row],[Age]]&gt;=36,HR_Data[[#This Row],[Age]]&lt;=45),"36-45",HR_Data[[#This Row],[Age]]&gt;45,"45+")</f>
        <v>26-35</v>
      </c>
      <c r="AL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0" spans="1:38"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f>IF(HR_Data[[#This Row],[Attrition]]="Yes",1,0)</f>
        <v>0</v>
      </c>
      <c r="AK100" t="str">
        <f>_xlfn.IFS(AND(HR_Data[[#This Row],[Age]]&gt;=18,HR_Data[[#This Row],[Age]]&lt;=25),"18-25",AND(HR_Data[[#This Row],[Age]]&gt;=26,HR_Data[[#This Row],[Age]]&lt;=35),"26-35",AND(HR_Data[[#This Row],[Age]]&gt;=36,HR_Data[[#This Row],[Age]]&lt;=45),"36-45",HR_Data[[#This Row],[Age]]&gt;45,"45+")</f>
        <v>45+</v>
      </c>
      <c r="AL1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1" spans="1:38"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f>IF(HR_Data[[#This Row],[Attrition]]="Yes",1,0)</f>
        <v>0</v>
      </c>
      <c r="AK101" t="str">
        <f>_xlfn.IFS(AND(HR_Data[[#This Row],[Age]]&gt;=18,HR_Data[[#This Row],[Age]]&lt;=25),"18-25",AND(HR_Data[[#This Row],[Age]]&gt;=26,HR_Data[[#This Row],[Age]]&lt;=35),"26-35",AND(HR_Data[[#This Row],[Age]]&gt;=36,HR_Data[[#This Row],[Age]]&lt;=45),"36-45",HR_Data[[#This Row],[Age]]&gt;45,"45+")</f>
        <v>36-45</v>
      </c>
      <c r="AL1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2" spans="1:38"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f>IF(HR_Data[[#This Row],[Attrition]]="Yes",1,0)</f>
        <v>1</v>
      </c>
      <c r="AK102" t="str">
        <f>_xlfn.IFS(AND(HR_Data[[#This Row],[Age]]&gt;=18,HR_Data[[#This Row],[Age]]&lt;=25),"18-25",AND(HR_Data[[#This Row],[Age]]&gt;=26,HR_Data[[#This Row],[Age]]&lt;=35),"26-35",AND(HR_Data[[#This Row],[Age]]&gt;=36,HR_Data[[#This Row],[Age]]&lt;=45),"36-45",HR_Data[[#This Row],[Age]]&gt;45,"45+")</f>
        <v>36-45</v>
      </c>
      <c r="AL1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3" spans="1:38"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f>IF(HR_Data[[#This Row],[Attrition]]="Yes",1,0)</f>
        <v>0</v>
      </c>
      <c r="AK103" t="str">
        <f>_xlfn.IFS(AND(HR_Data[[#This Row],[Age]]&gt;=18,HR_Data[[#This Row],[Age]]&lt;=25),"18-25",AND(HR_Data[[#This Row],[Age]]&gt;=26,HR_Data[[#This Row],[Age]]&lt;=35),"26-35",AND(HR_Data[[#This Row],[Age]]&gt;=36,HR_Data[[#This Row],[Age]]&lt;=45),"36-45",HR_Data[[#This Row],[Age]]&gt;45,"45+")</f>
        <v>26-35</v>
      </c>
      <c r="AL1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4" spans="1:38"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f>IF(HR_Data[[#This Row],[Attrition]]="Yes",1,0)</f>
        <v>1</v>
      </c>
      <c r="AK104" t="str">
        <f>_xlfn.IFS(AND(HR_Data[[#This Row],[Age]]&gt;=18,HR_Data[[#This Row],[Age]]&lt;=25),"18-25",AND(HR_Data[[#This Row],[Age]]&gt;=26,HR_Data[[#This Row],[Age]]&lt;=35),"26-35",AND(HR_Data[[#This Row],[Age]]&gt;=36,HR_Data[[#This Row],[Age]]&lt;=45),"36-45",HR_Data[[#This Row],[Age]]&gt;45,"45+")</f>
        <v>18-25</v>
      </c>
      <c r="AL1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5" spans="1:38"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f>IF(HR_Data[[#This Row],[Attrition]]="Yes",1,0)</f>
        <v>0</v>
      </c>
      <c r="AK105" t="str">
        <f>_xlfn.IFS(AND(HR_Data[[#This Row],[Age]]&gt;=18,HR_Data[[#This Row],[Age]]&lt;=25),"18-25",AND(HR_Data[[#This Row],[Age]]&gt;=26,HR_Data[[#This Row],[Age]]&lt;=35),"26-35",AND(HR_Data[[#This Row],[Age]]&gt;=36,HR_Data[[#This Row],[Age]]&lt;=45),"36-45",HR_Data[[#This Row],[Age]]&gt;45,"45+")</f>
        <v>26-35</v>
      </c>
      <c r="AL1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6" spans="1:38"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f>IF(HR_Data[[#This Row],[Attrition]]="Yes",1,0)</f>
        <v>0</v>
      </c>
      <c r="AK106" t="str">
        <f>_xlfn.IFS(AND(HR_Data[[#This Row],[Age]]&gt;=18,HR_Data[[#This Row],[Age]]&lt;=25),"18-25",AND(HR_Data[[#This Row],[Age]]&gt;=26,HR_Data[[#This Row],[Age]]&lt;=35),"26-35",AND(HR_Data[[#This Row],[Age]]&gt;=36,HR_Data[[#This Row],[Age]]&lt;=45),"36-45",HR_Data[[#This Row],[Age]]&gt;45,"45+")</f>
        <v>36-45</v>
      </c>
      <c r="AL1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7" spans="1:38"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f>IF(HR_Data[[#This Row],[Attrition]]="Yes",1,0)</f>
        <v>0</v>
      </c>
      <c r="AK107" t="str">
        <f>_xlfn.IFS(AND(HR_Data[[#This Row],[Age]]&gt;=18,HR_Data[[#This Row],[Age]]&lt;=25),"18-25",AND(HR_Data[[#This Row],[Age]]&gt;=26,HR_Data[[#This Row],[Age]]&lt;=35),"26-35",AND(HR_Data[[#This Row],[Age]]&gt;=36,HR_Data[[#This Row],[Age]]&lt;=45),"36-45",HR_Data[[#This Row],[Age]]&gt;45,"45+")</f>
        <v>45+</v>
      </c>
      <c r="AL1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8" spans="1:38"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f>IF(HR_Data[[#This Row],[Attrition]]="Yes",1,0)</f>
        <v>0</v>
      </c>
      <c r="AK108" t="str">
        <f>_xlfn.IFS(AND(HR_Data[[#This Row],[Age]]&gt;=18,HR_Data[[#This Row],[Age]]&lt;=25),"18-25",AND(HR_Data[[#This Row],[Age]]&gt;=26,HR_Data[[#This Row],[Age]]&lt;=35),"26-35",AND(HR_Data[[#This Row],[Age]]&gt;=36,HR_Data[[#This Row],[Age]]&lt;=45),"36-45",HR_Data[[#This Row],[Age]]&gt;45,"45+")</f>
        <v>45+</v>
      </c>
      <c r="AL1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9" spans="1:38"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f>IF(HR_Data[[#This Row],[Attrition]]="Yes",1,0)</f>
        <v>1</v>
      </c>
      <c r="AK109" t="str">
        <f>_xlfn.IFS(AND(HR_Data[[#This Row],[Age]]&gt;=18,HR_Data[[#This Row],[Age]]&lt;=25),"18-25",AND(HR_Data[[#This Row],[Age]]&gt;=26,HR_Data[[#This Row],[Age]]&lt;=35),"26-35",AND(HR_Data[[#This Row],[Age]]&gt;=36,HR_Data[[#This Row],[Age]]&lt;=45),"36-45",HR_Data[[#This Row],[Age]]&gt;45,"45+")</f>
        <v>18-25</v>
      </c>
      <c r="AL1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0" spans="1:38"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f>IF(HR_Data[[#This Row],[Attrition]]="Yes",1,0)</f>
        <v>0</v>
      </c>
      <c r="AK110" t="str">
        <f>_xlfn.IFS(AND(HR_Data[[#This Row],[Age]]&gt;=18,HR_Data[[#This Row],[Age]]&lt;=25),"18-25",AND(HR_Data[[#This Row],[Age]]&gt;=26,HR_Data[[#This Row],[Age]]&lt;=35),"26-35",AND(HR_Data[[#This Row],[Age]]&gt;=36,HR_Data[[#This Row],[Age]]&lt;=45),"36-45",HR_Data[[#This Row],[Age]]&gt;45,"45+")</f>
        <v>18-25</v>
      </c>
      <c r="AL1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1" spans="1:38"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f>IF(HR_Data[[#This Row],[Attrition]]="Yes",1,0)</f>
        <v>0</v>
      </c>
      <c r="AK111" t="str">
        <f>_xlfn.IFS(AND(HR_Data[[#This Row],[Age]]&gt;=18,HR_Data[[#This Row],[Age]]&lt;=25),"18-25",AND(HR_Data[[#This Row],[Age]]&gt;=26,HR_Data[[#This Row],[Age]]&lt;=35),"26-35",AND(HR_Data[[#This Row],[Age]]&gt;=36,HR_Data[[#This Row],[Age]]&lt;=45),"36-45",HR_Data[[#This Row],[Age]]&gt;45,"45+")</f>
        <v>18-25</v>
      </c>
      <c r="AL1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2" spans="1:38"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f>IF(HR_Data[[#This Row],[Attrition]]="Yes",1,0)</f>
        <v>0</v>
      </c>
      <c r="AK112" t="str">
        <f>_xlfn.IFS(AND(HR_Data[[#This Row],[Age]]&gt;=18,HR_Data[[#This Row],[Age]]&lt;=25),"18-25",AND(HR_Data[[#This Row],[Age]]&gt;=26,HR_Data[[#This Row],[Age]]&lt;=35),"26-35",AND(HR_Data[[#This Row],[Age]]&gt;=36,HR_Data[[#This Row],[Age]]&lt;=45),"36-45",HR_Data[[#This Row],[Age]]&gt;45,"45+")</f>
        <v>45+</v>
      </c>
      <c r="AL1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3" spans="1:38"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f>IF(HR_Data[[#This Row],[Attrition]]="Yes",1,0)</f>
        <v>1</v>
      </c>
      <c r="AK113" t="str">
        <f>_xlfn.IFS(AND(HR_Data[[#This Row],[Age]]&gt;=18,HR_Data[[#This Row],[Age]]&lt;=25),"18-25",AND(HR_Data[[#This Row],[Age]]&gt;=26,HR_Data[[#This Row],[Age]]&lt;=35),"26-35",AND(HR_Data[[#This Row],[Age]]&gt;=36,HR_Data[[#This Row],[Age]]&lt;=45),"36-45",HR_Data[[#This Row],[Age]]&gt;45,"45+")</f>
        <v>26-35</v>
      </c>
      <c r="AL1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4" spans="1:38"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f>IF(HR_Data[[#This Row],[Attrition]]="Yes",1,0)</f>
        <v>0</v>
      </c>
      <c r="AK114" t="str">
        <f>_xlfn.IFS(AND(HR_Data[[#This Row],[Age]]&gt;=18,HR_Data[[#This Row],[Age]]&lt;=25),"18-25",AND(HR_Data[[#This Row],[Age]]&gt;=26,HR_Data[[#This Row],[Age]]&lt;=35),"26-35",AND(HR_Data[[#This Row],[Age]]&gt;=36,HR_Data[[#This Row],[Age]]&lt;=45),"36-45",HR_Data[[#This Row],[Age]]&gt;45,"45+")</f>
        <v>45+</v>
      </c>
      <c r="AL1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5" spans="1:38"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f>IF(HR_Data[[#This Row],[Attrition]]="Yes",1,0)</f>
        <v>0</v>
      </c>
      <c r="AK115" t="str">
        <f>_xlfn.IFS(AND(HR_Data[[#This Row],[Age]]&gt;=18,HR_Data[[#This Row],[Age]]&lt;=25),"18-25",AND(HR_Data[[#This Row],[Age]]&gt;=26,HR_Data[[#This Row],[Age]]&lt;=35),"26-35",AND(HR_Data[[#This Row],[Age]]&gt;=36,HR_Data[[#This Row],[Age]]&lt;=45),"36-45",HR_Data[[#This Row],[Age]]&gt;45,"45+")</f>
        <v>18-25</v>
      </c>
      <c r="AL1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6" spans="1:38"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f>IF(HR_Data[[#This Row],[Attrition]]="Yes",1,0)</f>
        <v>0</v>
      </c>
      <c r="AK116" t="str">
        <f>_xlfn.IFS(AND(HR_Data[[#This Row],[Age]]&gt;=18,HR_Data[[#This Row],[Age]]&lt;=25),"18-25",AND(HR_Data[[#This Row],[Age]]&gt;=26,HR_Data[[#This Row],[Age]]&lt;=35),"26-35",AND(HR_Data[[#This Row],[Age]]&gt;=36,HR_Data[[#This Row],[Age]]&lt;=45),"36-45",HR_Data[[#This Row],[Age]]&gt;45,"45+")</f>
        <v>26-35</v>
      </c>
      <c r="AL1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7" spans="1:38"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f>IF(HR_Data[[#This Row],[Attrition]]="Yes",1,0)</f>
        <v>0</v>
      </c>
      <c r="AK117" t="str">
        <f>_xlfn.IFS(AND(HR_Data[[#This Row],[Age]]&gt;=18,HR_Data[[#This Row],[Age]]&lt;=25),"18-25",AND(HR_Data[[#This Row],[Age]]&gt;=26,HR_Data[[#This Row],[Age]]&lt;=35),"26-35",AND(HR_Data[[#This Row],[Age]]&gt;=36,HR_Data[[#This Row],[Age]]&lt;=45),"36-45",HR_Data[[#This Row],[Age]]&gt;45,"45+")</f>
        <v>36-45</v>
      </c>
      <c r="AL1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8" spans="1:38"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f>IF(HR_Data[[#This Row],[Attrition]]="Yes",1,0)</f>
        <v>0</v>
      </c>
      <c r="AK118" t="str">
        <f>_xlfn.IFS(AND(HR_Data[[#This Row],[Age]]&gt;=18,HR_Data[[#This Row],[Age]]&lt;=25),"18-25",AND(HR_Data[[#This Row],[Age]]&gt;=26,HR_Data[[#This Row],[Age]]&lt;=35),"26-35",AND(HR_Data[[#This Row],[Age]]&gt;=36,HR_Data[[#This Row],[Age]]&lt;=45),"36-45",HR_Data[[#This Row],[Age]]&gt;45,"45+")</f>
        <v>26-35</v>
      </c>
      <c r="AL1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9" spans="1:38"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f>IF(HR_Data[[#This Row],[Attrition]]="Yes",1,0)</f>
        <v>0</v>
      </c>
      <c r="AK119" t="str">
        <f>_xlfn.IFS(AND(HR_Data[[#This Row],[Age]]&gt;=18,HR_Data[[#This Row],[Age]]&lt;=25),"18-25",AND(HR_Data[[#This Row],[Age]]&gt;=26,HR_Data[[#This Row],[Age]]&lt;=35),"26-35",AND(HR_Data[[#This Row],[Age]]&gt;=36,HR_Data[[#This Row],[Age]]&lt;=45),"36-45",HR_Data[[#This Row],[Age]]&gt;45,"45+")</f>
        <v>36-45</v>
      </c>
      <c r="AL1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0" spans="1:38"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f>IF(HR_Data[[#This Row],[Attrition]]="Yes",1,0)</f>
        <v>0</v>
      </c>
      <c r="AK120" t="str">
        <f>_xlfn.IFS(AND(HR_Data[[#This Row],[Age]]&gt;=18,HR_Data[[#This Row],[Age]]&lt;=25),"18-25",AND(HR_Data[[#This Row],[Age]]&gt;=26,HR_Data[[#This Row],[Age]]&lt;=35),"26-35",AND(HR_Data[[#This Row],[Age]]&gt;=36,HR_Data[[#This Row],[Age]]&lt;=45),"36-45",HR_Data[[#This Row],[Age]]&gt;45,"45+")</f>
        <v>36-45</v>
      </c>
      <c r="AL1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1" spans="1:38"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f>IF(HR_Data[[#This Row],[Attrition]]="Yes",1,0)</f>
        <v>0</v>
      </c>
      <c r="AK121" t="str">
        <f>_xlfn.IFS(AND(HR_Data[[#This Row],[Age]]&gt;=18,HR_Data[[#This Row],[Age]]&lt;=25),"18-25",AND(HR_Data[[#This Row],[Age]]&gt;=26,HR_Data[[#This Row],[Age]]&lt;=35),"26-35",AND(HR_Data[[#This Row],[Age]]&gt;=36,HR_Data[[#This Row],[Age]]&lt;=45),"36-45",HR_Data[[#This Row],[Age]]&gt;45,"45+")</f>
        <v>36-45</v>
      </c>
      <c r="AL1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2" spans="1:38"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f>IF(HR_Data[[#This Row],[Attrition]]="Yes",1,0)</f>
        <v>0</v>
      </c>
      <c r="AK122" t="str">
        <f>_xlfn.IFS(AND(HR_Data[[#This Row],[Age]]&gt;=18,HR_Data[[#This Row],[Age]]&lt;=25),"18-25",AND(HR_Data[[#This Row],[Age]]&gt;=26,HR_Data[[#This Row],[Age]]&lt;=35),"26-35",AND(HR_Data[[#This Row],[Age]]&gt;=36,HR_Data[[#This Row],[Age]]&lt;=45),"36-45",HR_Data[[#This Row],[Age]]&gt;45,"45+")</f>
        <v>26-35</v>
      </c>
      <c r="AL1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3" spans="1:38"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f>IF(HR_Data[[#This Row],[Attrition]]="Yes",1,0)</f>
        <v>0</v>
      </c>
      <c r="AK123" t="str">
        <f>_xlfn.IFS(AND(HR_Data[[#This Row],[Age]]&gt;=18,HR_Data[[#This Row],[Age]]&lt;=25),"18-25",AND(HR_Data[[#This Row],[Age]]&gt;=26,HR_Data[[#This Row],[Age]]&lt;=35),"26-35",AND(HR_Data[[#This Row],[Age]]&gt;=36,HR_Data[[#This Row],[Age]]&lt;=45),"36-45",HR_Data[[#This Row],[Age]]&gt;45,"45+")</f>
        <v>26-35</v>
      </c>
      <c r="AL1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4" spans="1:38"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f>IF(HR_Data[[#This Row],[Attrition]]="Yes",1,0)</f>
        <v>1</v>
      </c>
      <c r="AK124" t="str">
        <f>_xlfn.IFS(AND(HR_Data[[#This Row],[Age]]&gt;=18,HR_Data[[#This Row],[Age]]&lt;=25),"18-25",AND(HR_Data[[#This Row],[Age]]&gt;=26,HR_Data[[#This Row],[Age]]&lt;=35),"26-35",AND(HR_Data[[#This Row],[Age]]&gt;=36,HR_Data[[#This Row],[Age]]&lt;=45),"36-45",HR_Data[[#This Row],[Age]]&gt;45,"45+")</f>
        <v>45+</v>
      </c>
      <c r="AL1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5" spans="1:38"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f>IF(HR_Data[[#This Row],[Attrition]]="Yes",1,0)</f>
        <v>0</v>
      </c>
      <c r="AK125" t="str">
        <f>_xlfn.IFS(AND(HR_Data[[#This Row],[Age]]&gt;=18,HR_Data[[#This Row],[Age]]&lt;=25),"18-25",AND(HR_Data[[#This Row],[Age]]&gt;=26,HR_Data[[#This Row],[Age]]&lt;=35),"26-35",AND(HR_Data[[#This Row],[Age]]&gt;=36,HR_Data[[#This Row],[Age]]&lt;=45),"36-45",HR_Data[[#This Row],[Age]]&gt;45,"45+")</f>
        <v>45+</v>
      </c>
      <c r="AL1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6" spans="1:38"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f>IF(HR_Data[[#This Row],[Attrition]]="Yes",1,0)</f>
        <v>1</v>
      </c>
      <c r="AK126" t="str">
        <f>_xlfn.IFS(AND(HR_Data[[#This Row],[Age]]&gt;=18,HR_Data[[#This Row],[Age]]&lt;=25),"18-25",AND(HR_Data[[#This Row],[Age]]&gt;=26,HR_Data[[#This Row],[Age]]&lt;=35),"26-35",AND(HR_Data[[#This Row],[Age]]&gt;=36,HR_Data[[#This Row],[Age]]&lt;=45),"36-45",HR_Data[[#This Row],[Age]]&gt;45,"45+")</f>
        <v>26-35</v>
      </c>
      <c r="AL1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7" spans="1:38"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f>IF(HR_Data[[#This Row],[Attrition]]="Yes",1,0)</f>
        <v>0</v>
      </c>
      <c r="AK127" t="str">
        <f>_xlfn.IFS(AND(HR_Data[[#This Row],[Age]]&gt;=18,HR_Data[[#This Row],[Age]]&lt;=25),"18-25",AND(HR_Data[[#This Row],[Age]]&gt;=26,HR_Data[[#This Row],[Age]]&lt;=35),"26-35",AND(HR_Data[[#This Row],[Age]]&gt;=36,HR_Data[[#This Row],[Age]]&lt;=45),"36-45",HR_Data[[#This Row],[Age]]&gt;45,"45+")</f>
        <v>26-35</v>
      </c>
      <c r="AL1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8" spans="1:38"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f>IF(HR_Data[[#This Row],[Attrition]]="Yes",1,0)</f>
        <v>1</v>
      </c>
      <c r="AK128" t="str">
        <f>_xlfn.IFS(AND(HR_Data[[#This Row],[Age]]&gt;=18,HR_Data[[#This Row],[Age]]&lt;=25),"18-25",AND(HR_Data[[#This Row],[Age]]&gt;=26,HR_Data[[#This Row],[Age]]&lt;=35),"26-35",AND(HR_Data[[#This Row],[Age]]&gt;=36,HR_Data[[#This Row],[Age]]&lt;=45),"36-45",HR_Data[[#This Row],[Age]]&gt;45,"45+")</f>
        <v>45+</v>
      </c>
      <c r="AL1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9" spans="1:38"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f>IF(HR_Data[[#This Row],[Attrition]]="Yes",1,0)</f>
        <v>1</v>
      </c>
      <c r="AK129" t="str">
        <f>_xlfn.IFS(AND(HR_Data[[#This Row],[Age]]&gt;=18,HR_Data[[#This Row],[Age]]&lt;=25),"18-25",AND(HR_Data[[#This Row],[Age]]&gt;=26,HR_Data[[#This Row],[Age]]&lt;=35),"26-35",AND(HR_Data[[#This Row],[Age]]&gt;=36,HR_Data[[#This Row],[Age]]&lt;=45),"36-45",HR_Data[[#This Row],[Age]]&gt;45,"45+")</f>
        <v>18-25</v>
      </c>
      <c r="AL1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0" spans="1:38"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f>IF(HR_Data[[#This Row],[Attrition]]="Yes",1,0)</f>
        <v>0</v>
      </c>
      <c r="AK130" t="str">
        <f>_xlfn.IFS(AND(HR_Data[[#This Row],[Age]]&gt;=18,HR_Data[[#This Row],[Age]]&lt;=25),"18-25",AND(HR_Data[[#This Row],[Age]]&gt;=26,HR_Data[[#This Row],[Age]]&lt;=35),"26-35",AND(HR_Data[[#This Row],[Age]]&gt;=36,HR_Data[[#This Row],[Age]]&lt;=45),"36-45",HR_Data[[#This Row],[Age]]&gt;45,"45+")</f>
        <v>18-25</v>
      </c>
      <c r="AL1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1" spans="1:38"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f>IF(HR_Data[[#This Row],[Attrition]]="Yes",1,0)</f>
        <v>0</v>
      </c>
      <c r="AK131" t="str">
        <f>_xlfn.IFS(AND(HR_Data[[#This Row],[Age]]&gt;=18,HR_Data[[#This Row],[Age]]&lt;=25),"18-25",AND(HR_Data[[#This Row],[Age]]&gt;=26,HR_Data[[#This Row],[Age]]&lt;=35),"26-35",AND(HR_Data[[#This Row],[Age]]&gt;=36,HR_Data[[#This Row],[Age]]&lt;=45),"36-45",HR_Data[[#This Row],[Age]]&gt;45,"45+")</f>
        <v>45+</v>
      </c>
      <c r="AL1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2" spans="1:38"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f>IF(HR_Data[[#This Row],[Attrition]]="Yes",1,0)</f>
        <v>0</v>
      </c>
      <c r="AK132" t="str">
        <f>_xlfn.IFS(AND(HR_Data[[#This Row],[Age]]&gt;=18,HR_Data[[#This Row],[Age]]&lt;=25),"18-25",AND(HR_Data[[#This Row],[Age]]&gt;=26,HR_Data[[#This Row],[Age]]&lt;=35),"26-35",AND(HR_Data[[#This Row],[Age]]&gt;=36,HR_Data[[#This Row],[Age]]&lt;=45),"36-45",HR_Data[[#This Row],[Age]]&gt;45,"45+")</f>
        <v>36-45</v>
      </c>
      <c r="AL1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3" spans="1:38"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f>IF(HR_Data[[#This Row],[Attrition]]="Yes",1,0)</f>
        <v>0</v>
      </c>
      <c r="AK133" t="str">
        <f>_xlfn.IFS(AND(HR_Data[[#This Row],[Age]]&gt;=18,HR_Data[[#This Row],[Age]]&lt;=25),"18-25",AND(HR_Data[[#This Row],[Age]]&gt;=26,HR_Data[[#This Row],[Age]]&lt;=35),"26-35",AND(HR_Data[[#This Row],[Age]]&gt;=36,HR_Data[[#This Row],[Age]]&lt;=45),"36-45",HR_Data[[#This Row],[Age]]&gt;45,"45+")</f>
        <v>45+</v>
      </c>
      <c r="AL1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4" spans="1:38"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f>IF(HR_Data[[#This Row],[Attrition]]="Yes",1,0)</f>
        <v>1</v>
      </c>
      <c r="AK134" t="str">
        <f>_xlfn.IFS(AND(HR_Data[[#This Row],[Age]]&gt;=18,HR_Data[[#This Row],[Age]]&lt;=25),"18-25",AND(HR_Data[[#This Row],[Age]]&gt;=26,HR_Data[[#This Row],[Age]]&lt;=35),"26-35",AND(HR_Data[[#This Row],[Age]]&gt;=36,HR_Data[[#This Row],[Age]]&lt;=45),"36-45",HR_Data[[#This Row],[Age]]&gt;45,"45+")</f>
        <v>26-35</v>
      </c>
      <c r="AL1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5" spans="1:38"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f>IF(HR_Data[[#This Row],[Attrition]]="Yes",1,0)</f>
        <v>0</v>
      </c>
      <c r="AK135" t="str">
        <f>_xlfn.IFS(AND(HR_Data[[#This Row],[Age]]&gt;=18,HR_Data[[#This Row],[Age]]&lt;=25),"18-25",AND(HR_Data[[#This Row],[Age]]&gt;=26,HR_Data[[#This Row],[Age]]&lt;=35),"26-35",AND(HR_Data[[#This Row],[Age]]&gt;=36,HR_Data[[#This Row],[Age]]&lt;=45),"36-45",HR_Data[[#This Row],[Age]]&gt;45,"45+")</f>
        <v>36-45</v>
      </c>
      <c r="AL1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6" spans="1:38"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f>IF(HR_Data[[#This Row],[Attrition]]="Yes",1,0)</f>
        <v>0</v>
      </c>
      <c r="AK136" t="str">
        <f>_xlfn.IFS(AND(HR_Data[[#This Row],[Age]]&gt;=18,HR_Data[[#This Row],[Age]]&lt;=25),"18-25",AND(HR_Data[[#This Row],[Age]]&gt;=26,HR_Data[[#This Row],[Age]]&lt;=35),"26-35",AND(HR_Data[[#This Row],[Age]]&gt;=36,HR_Data[[#This Row],[Age]]&lt;=45),"36-45",HR_Data[[#This Row],[Age]]&gt;45,"45+")</f>
        <v>26-35</v>
      </c>
      <c r="AL1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7" spans="1:38"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f>IF(HR_Data[[#This Row],[Attrition]]="Yes",1,0)</f>
        <v>0</v>
      </c>
      <c r="AK137" t="str">
        <f>_xlfn.IFS(AND(HR_Data[[#This Row],[Age]]&gt;=18,HR_Data[[#This Row],[Age]]&lt;=25),"18-25",AND(HR_Data[[#This Row],[Age]]&gt;=26,HR_Data[[#This Row],[Age]]&lt;=35),"26-35",AND(HR_Data[[#This Row],[Age]]&gt;=36,HR_Data[[#This Row],[Age]]&lt;=45),"36-45",HR_Data[[#This Row],[Age]]&gt;45,"45+")</f>
        <v>36-45</v>
      </c>
      <c r="AL1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8" spans="1:38"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f>IF(HR_Data[[#This Row],[Attrition]]="Yes",1,0)</f>
        <v>1</v>
      </c>
      <c r="AK138" t="str">
        <f>_xlfn.IFS(AND(HR_Data[[#This Row],[Age]]&gt;=18,HR_Data[[#This Row],[Age]]&lt;=25),"18-25",AND(HR_Data[[#This Row],[Age]]&gt;=26,HR_Data[[#This Row],[Age]]&lt;=35),"26-35",AND(HR_Data[[#This Row],[Age]]&gt;=36,HR_Data[[#This Row],[Age]]&lt;=45),"36-45",HR_Data[[#This Row],[Age]]&gt;45,"45+")</f>
        <v>45+</v>
      </c>
      <c r="AL1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9" spans="1:38"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f>IF(HR_Data[[#This Row],[Attrition]]="Yes",1,0)</f>
        <v>0</v>
      </c>
      <c r="AK139" t="str">
        <f>_xlfn.IFS(AND(HR_Data[[#This Row],[Age]]&gt;=18,HR_Data[[#This Row],[Age]]&lt;=25),"18-25",AND(HR_Data[[#This Row],[Age]]&gt;=26,HR_Data[[#This Row],[Age]]&lt;=35),"26-35",AND(HR_Data[[#This Row],[Age]]&gt;=36,HR_Data[[#This Row],[Age]]&lt;=45),"36-45",HR_Data[[#This Row],[Age]]&gt;45,"45+")</f>
        <v>36-45</v>
      </c>
      <c r="AL1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0" spans="1:38"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f>IF(HR_Data[[#This Row],[Attrition]]="Yes",1,0)</f>
        <v>0</v>
      </c>
      <c r="AK140" t="str">
        <f>_xlfn.IFS(AND(HR_Data[[#This Row],[Age]]&gt;=18,HR_Data[[#This Row],[Age]]&lt;=25),"18-25",AND(HR_Data[[#This Row],[Age]]&gt;=26,HR_Data[[#This Row],[Age]]&lt;=35),"26-35",AND(HR_Data[[#This Row],[Age]]&gt;=36,HR_Data[[#This Row],[Age]]&lt;=45),"36-45",HR_Data[[#This Row],[Age]]&gt;45,"45+")</f>
        <v>18-25</v>
      </c>
      <c r="AL1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1" spans="1:38"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f>IF(HR_Data[[#This Row],[Attrition]]="Yes",1,0)</f>
        <v>0</v>
      </c>
      <c r="AK141" t="str">
        <f>_xlfn.IFS(AND(HR_Data[[#This Row],[Age]]&gt;=18,HR_Data[[#This Row],[Age]]&lt;=25),"18-25",AND(HR_Data[[#This Row],[Age]]&gt;=26,HR_Data[[#This Row],[Age]]&lt;=35),"26-35",AND(HR_Data[[#This Row],[Age]]&gt;=36,HR_Data[[#This Row],[Age]]&lt;=45),"36-45",HR_Data[[#This Row],[Age]]&gt;45,"45+")</f>
        <v>26-35</v>
      </c>
      <c r="AL1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2" spans="1:38"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f>IF(HR_Data[[#This Row],[Attrition]]="Yes",1,0)</f>
        <v>1</v>
      </c>
      <c r="AK142" t="str">
        <f>_xlfn.IFS(AND(HR_Data[[#This Row],[Age]]&gt;=18,HR_Data[[#This Row],[Age]]&lt;=25),"18-25",AND(HR_Data[[#This Row],[Age]]&gt;=26,HR_Data[[#This Row],[Age]]&lt;=35),"26-35",AND(HR_Data[[#This Row],[Age]]&gt;=36,HR_Data[[#This Row],[Age]]&lt;=45),"36-45",HR_Data[[#This Row],[Age]]&gt;45,"45+")</f>
        <v>26-35</v>
      </c>
      <c r="AL1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3" spans="1:38"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f>IF(HR_Data[[#This Row],[Attrition]]="Yes",1,0)</f>
        <v>0</v>
      </c>
      <c r="AK143" t="str">
        <f>_xlfn.IFS(AND(HR_Data[[#This Row],[Age]]&gt;=18,HR_Data[[#This Row],[Age]]&lt;=25),"18-25",AND(HR_Data[[#This Row],[Age]]&gt;=26,HR_Data[[#This Row],[Age]]&lt;=35),"26-35",AND(HR_Data[[#This Row],[Age]]&gt;=36,HR_Data[[#This Row],[Age]]&lt;=45),"36-45",HR_Data[[#This Row],[Age]]&gt;45,"45+")</f>
        <v>36-45</v>
      </c>
      <c r="AL1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4" spans="1:38"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f>IF(HR_Data[[#This Row],[Attrition]]="Yes",1,0)</f>
        <v>0</v>
      </c>
      <c r="AK144" t="str">
        <f>_xlfn.IFS(AND(HR_Data[[#This Row],[Age]]&gt;=18,HR_Data[[#This Row],[Age]]&lt;=25),"18-25",AND(HR_Data[[#This Row],[Age]]&gt;=26,HR_Data[[#This Row],[Age]]&lt;=35),"26-35",AND(HR_Data[[#This Row],[Age]]&gt;=36,HR_Data[[#This Row],[Age]]&lt;=45),"36-45",HR_Data[[#This Row],[Age]]&gt;45,"45+")</f>
        <v>36-45</v>
      </c>
      <c r="AL1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5" spans="1:38"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f>IF(HR_Data[[#This Row],[Attrition]]="Yes",1,0)</f>
        <v>0</v>
      </c>
      <c r="AK145" t="str">
        <f>_xlfn.IFS(AND(HR_Data[[#This Row],[Age]]&gt;=18,HR_Data[[#This Row],[Age]]&lt;=25),"18-25",AND(HR_Data[[#This Row],[Age]]&gt;=26,HR_Data[[#This Row],[Age]]&lt;=35),"26-35",AND(HR_Data[[#This Row],[Age]]&gt;=36,HR_Data[[#This Row],[Age]]&lt;=45),"36-45",HR_Data[[#This Row],[Age]]&gt;45,"45+")</f>
        <v>26-35</v>
      </c>
      <c r="AL1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6" spans="1:38"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f>IF(HR_Data[[#This Row],[Attrition]]="Yes",1,0)</f>
        <v>0</v>
      </c>
      <c r="AK146" t="str">
        <f>_xlfn.IFS(AND(HR_Data[[#This Row],[Age]]&gt;=18,HR_Data[[#This Row],[Age]]&lt;=25),"18-25",AND(HR_Data[[#This Row],[Age]]&gt;=26,HR_Data[[#This Row],[Age]]&lt;=35),"26-35",AND(HR_Data[[#This Row],[Age]]&gt;=36,HR_Data[[#This Row],[Age]]&lt;=45),"36-45",HR_Data[[#This Row],[Age]]&gt;45,"45+")</f>
        <v>26-35</v>
      </c>
      <c r="AL1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7" spans="1:38"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f>IF(HR_Data[[#This Row],[Attrition]]="Yes",1,0)</f>
        <v>0</v>
      </c>
      <c r="AK147" t="str">
        <f>_xlfn.IFS(AND(HR_Data[[#This Row],[Age]]&gt;=18,HR_Data[[#This Row],[Age]]&lt;=25),"18-25",AND(HR_Data[[#This Row],[Age]]&gt;=26,HR_Data[[#This Row],[Age]]&lt;=35),"26-35",AND(HR_Data[[#This Row],[Age]]&gt;=36,HR_Data[[#This Row],[Age]]&lt;=45),"36-45",HR_Data[[#This Row],[Age]]&gt;45,"45+")</f>
        <v>26-35</v>
      </c>
      <c r="AL1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8" spans="1:38"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f>IF(HR_Data[[#This Row],[Attrition]]="Yes",1,0)</f>
        <v>0</v>
      </c>
      <c r="AK148" t="str">
        <f>_xlfn.IFS(AND(HR_Data[[#This Row],[Age]]&gt;=18,HR_Data[[#This Row],[Age]]&lt;=25),"18-25",AND(HR_Data[[#This Row],[Age]]&gt;=26,HR_Data[[#This Row],[Age]]&lt;=35),"26-35",AND(HR_Data[[#This Row],[Age]]&gt;=36,HR_Data[[#This Row],[Age]]&lt;=45),"36-45",HR_Data[[#This Row],[Age]]&gt;45,"45+")</f>
        <v>26-35</v>
      </c>
      <c r="AL1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9" spans="1:38"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f>IF(HR_Data[[#This Row],[Attrition]]="Yes",1,0)</f>
        <v>0</v>
      </c>
      <c r="AK149" t="str">
        <f>_xlfn.IFS(AND(HR_Data[[#This Row],[Age]]&gt;=18,HR_Data[[#This Row],[Age]]&lt;=25),"18-25",AND(HR_Data[[#This Row],[Age]]&gt;=26,HR_Data[[#This Row],[Age]]&lt;=35),"26-35",AND(HR_Data[[#This Row],[Age]]&gt;=36,HR_Data[[#This Row],[Age]]&lt;=45),"36-45",HR_Data[[#This Row],[Age]]&gt;45,"45+")</f>
        <v>36-45</v>
      </c>
      <c r="AL1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50" spans="1:38"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f>IF(HR_Data[[#This Row],[Attrition]]="Yes",1,0)</f>
        <v>0</v>
      </c>
      <c r="AK150" t="str">
        <f>_xlfn.IFS(AND(HR_Data[[#This Row],[Age]]&gt;=18,HR_Data[[#This Row],[Age]]&lt;=25),"18-25",AND(HR_Data[[#This Row],[Age]]&gt;=26,HR_Data[[#This Row],[Age]]&lt;=35),"26-35",AND(HR_Data[[#This Row],[Age]]&gt;=36,HR_Data[[#This Row],[Age]]&lt;=45),"36-45",HR_Data[[#This Row],[Age]]&gt;45,"45+")</f>
        <v>36-45</v>
      </c>
      <c r="AL1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51" spans="1:38"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f>IF(HR_Data[[#This Row],[Attrition]]="Yes",1,0)</f>
        <v>0</v>
      </c>
      <c r="AK151" t="str">
        <f>_xlfn.IFS(AND(HR_Data[[#This Row],[Age]]&gt;=18,HR_Data[[#This Row],[Age]]&lt;=25),"18-25",AND(HR_Data[[#This Row],[Age]]&gt;=26,HR_Data[[#This Row],[Age]]&lt;=35),"26-35",AND(HR_Data[[#This Row],[Age]]&gt;=36,HR_Data[[#This Row],[Age]]&lt;=45),"36-45",HR_Data[[#This Row],[Age]]&gt;45,"45+")</f>
        <v>18-25</v>
      </c>
      <c r="AL1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52" spans="1:38"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f>IF(HR_Data[[#This Row],[Attrition]]="Yes",1,0)</f>
        <v>0</v>
      </c>
      <c r="AK152" t="str">
        <f>_xlfn.IFS(AND(HR_Data[[#This Row],[Age]]&gt;=18,HR_Data[[#This Row],[Age]]&lt;=25),"18-25",AND(HR_Data[[#This Row],[Age]]&gt;=26,HR_Data[[#This Row],[Age]]&lt;=35),"26-35",AND(HR_Data[[#This Row],[Age]]&gt;=36,HR_Data[[#This Row],[Age]]&lt;=45),"36-45",HR_Data[[#This Row],[Age]]&gt;45,"45+")</f>
        <v>36-45</v>
      </c>
      <c r="AL1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53" spans="1:38"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f>IF(HR_Data[[#This Row],[Attrition]]="Yes",1,0)</f>
        <v>0</v>
      </c>
      <c r="AK153" t="str">
        <f>_xlfn.IFS(AND(HR_Data[[#This Row],[Age]]&gt;=18,HR_Data[[#This Row],[Age]]&lt;=25),"18-25",AND(HR_Data[[#This Row],[Age]]&gt;=26,HR_Data[[#This Row],[Age]]&lt;=35),"26-35",AND(HR_Data[[#This Row],[Age]]&gt;=36,HR_Data[[#This Row],[Age]]&lt;=45),"36-45",HR_Data[[#This Row],[Age]]&gt;45,"45+")</f>
        <v>26-35</v>
      </c>
      <c r="AL1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54" spans="1:38"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f>IF(HR_Data[[#This Row],[Attrition]]="Yes",1,0)</f>
        <v>0</v>
      </c>
      <c r="AK154" t="str">
        <f>_xlfn.IFS(AND(HR_Data[[#This Row],[Age]]&gt;=18,HR_Data[[#This Row],[Age]]&lt;=25),"18-25",AND(HR_Data[[#This Row],[Age]]&gt;=26,HR_Data[[#This Row],[Age]]&lt;=35),"26-35",AND(HR_Data[[#This Row],[Age]]&gt;=36,HR_Data[[#This Row],[Age]]&lt;=45),"36-45",HR_Data[[#This Row],[Age]]&gt;45,"45+")</f>
        <v>45+</v>
      </c>
      <c r="AL1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55" spans="1:38"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f>IF(HR_Data[[#This Row],[Attrition]]="Yes",1,0)</f>
        <v>0</v>
      </c>
      <c r="AK155" t="str">
        <f>_xlfn.IFS(AND(HR_Data[[#This Row],[Age]]&gt;=18,HR_Data[[#This Row],[Age]]&lt;=25),"18-25",AND(HR_Data[[#This Row],[Age]]&gt;=26,HR_Data[[#This Row],[Age]]&lt;=35),"26-35",AND(HR_Data[[#This Row],[Age]]&gt;=36,HR_Data[[#This Row],[Age]]&lt;=45),"36-45",HR_Data[[#This Row],[Age]]&gt;45,"45+")</f>
        <v>36-45</v>
      </c>
      <c r="AL1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56" spans="1:38"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f>IF(HR_Data[[#This Row],[Attrition]]="Yes",1,0)</f>
        <v>0</v>
      </c>
      <c r="AK156" t="str">
        <f>_xlfn.IFS(AND(HR_Data[[#This Row],[Age]]&gt;=18,HR_Data[[#This Row],[Age]]&lt;=25),"18-25",AND(HR_Data[[#This Row],[Age]]&gt;=26,HR_Data[[#This Row],[Age]]&lt;=35),"26-35",AND(HR_Data[[#This Row],[Age]]&gt;=36,HR_Data[[#This Row],[Age]]&lt;=45),"36-45",HR_Data[[#This Row],[Age]]&gt;45,"45+")</f>
        <v>26-35</v>
      </c>
      <c r="AL1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57" spans="1:38"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f>IF(HR_Data[[#This Row],[Attrition]]="Yes",1,0)</f>
        <v>0</v>
      </c>
      <c r="AK157" t="str">
        <f>_xlfn.IFS(AND(HR_Data[[#This Row],[Age]]&gt;=18,HR_Data[[#This Row],[Age]]&lt;=25),"18-25",AND(HR_Data[[#This Row],[Age]]&gt;=26,HR_Data[[#This Row],[Age]]&lt;=35),"26-35",AND(HR_Data[[#This Row],[Age]]&gt;=36,HR_Data[[#This Row],[Age]]&lt;=45),"36-45",HR_Data[[#This Row],[Age]]&gt;45,"45+")</f>
        <v>26-35</v>
      </c>
      <c r="AL1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58" spans="1:38"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f>IF(HR_Data[[#This Row],[Attrition]]="Yes",1,0)</f>
        <v>0</v>
      </c>
      <c r="AK158" t="str">
        <f>_xlfn.IFS(AND(HR_Data[[#This Row],[Age]]&gt;=18,HR_Data[[#This Row],[Age]]&lt;=25),"18-25",AND(HR_Data[[#This Row],[Age]]&gt;=26,HR_Data[[#This Row],[Age]]&lt;=35),"26-35",AND(HR_Data[[#This Row],[Age]]&gt;=36,HR_Data[[#This Row],[Age]]&lt;=45),"36-45",HR_Data[[#This Row],[Age]]&gt;45,"45+")</f>
        <v>45+</v>
      </c>
      <c r="AL1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59" spans="1:38"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f>IF(HR_Data[[#This Row],[Attrition]]="Yes",1,0)</f>
        <v>0</v>
      </c>
      <c r="AK159" t="str">
        <f>_xlfn.IFS(AND(HR_Data[[#This Row],[Age]]&gt;=18,HR_Data[[#This Row],[Age]]&lt;=25),"18-25",AND(HR_Data[[#This Row],[Age]]&gt;=26,HR_Data[[#This Row],[Age]]&lt;=35),"26-35",AND(HR_Data[[#This Row],[Age]]&gt;=36,HR_Data[[#This Row],[Age]]&lt;=45),"36-45",HR_Data[[#This Row],[Age]]&gt;45,"45+")</f>
        <v>45+</v>
      </c>
      <c r="AL1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60" spans="1:38"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f>IF(HR_Data[[#This Row],[Attrition]]="Yes",1,0)</f>
        <v>0</v>
      </c>
      <c r="AK160" t="str">
        <f>_xlfn.IFS(AND(HR_Data[[#This Row],[Age]]&gt;=18,HR_Data[[#This Row],[Age]]&lt;=25),"18-25",AND(HR_Data[[#This Row],[Age]]&gt;=26,HR_Data[[#This Row],[Age]]&lt;=35),"26-35",AND(HR_Data[[#This Row],[Age]]&gt;=36,HR_Data[[#This Row],[Age]]&lt;=45),"36-45",HR_Data[[#This Row],[Age]]&gt;45,"45+")</f>
        <v>36-45</v>
      </c>
      <c r="AL1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61" spans="1:38"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f>IF(HR_Data[[#This Row],[Attrition]]="Yes",1,0)</f>
        <v>0</v>
      </c>
      <c r="AK161" t="str">
        <f>_xlfn.IFS(AND(HR_Data[[#This Row],[Age]]&gt;=18,HR_Data[[#This Row],[Age]]&lt;=25),"18-25",AND(HR_Data[[#This Row],[Age]]&gt;=26,HR_Data[[#This Row],[Age]]&lt;=35),"26-35",AND(HR_Data[[#This Row],[Age]]&gt;=36,HR_Data[[#This Row],[Age]]&lt;=45),"36-45",HR_Data[[#This Row],[Age]]&gt;45,"45+")</f>
        <v>26-35</v>
      </c>
      <c r="AL1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62" spans="1:38"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f>IF(HR_Data[[#This Row],[Attrition]]="Yes",1,0)</f>
        <v>0</v>
      </c>
      <c r="AK162" t="str">
        <f>_xlfn.IFS(AND(HR_Data[[#This Row],[Age]]&gt;=18,HR_Data[[#This Row],[Age]]&lt;=25),"18-25",AND(HR_Data[[#This Row],[Age]]&gt;=26,HR_Data[[#This Row],[Age]]&lt;=35),"26-35",AND(HR_Data[[#This Row],[Age]]&gt;=36,HR_Data[[#This Row],[Age]]&lt;=45),"36-45",HR_Data[[#This Row],[Age]]&gt;45,"45+")</f>
        <v>18-25</v>
      </c>
      <c r="AL1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63" spans="1:38"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f>IF(HR_Data[[#This Row],[Attrition]]="Yes",1,0)</f>
        <v>0</v>
      </c>
      <c r="AK163" t="str">
        <f>_xlfn.IFS(AND(HR_Data[[#This Row],[Age]]&gt;=18,HR_Data[[#This Row],[Age]]&lt;=25),"18-25",AND(HR_Data[[#This Row],[Age]]&gt;=26,HR_Data[[#This Row],[Age]]&lt;=35),"26-35",AND(HR_Data[[#This Row],[Age]]&gt;=36,HR_Data[[#This Row],[Age]]&lt;=45),"36-45",HR_Data[[#This Row],[Age]]&gt;45,"45+")</f>
        <v>26-35</v>
      </c>
      <c r="AL1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64" spans="1:38"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f>IF(HR_Data[[#This Row],[Attrition]]="Yes",1,0)</f>
        <v>0</v>
      </c>
      <c r="AK164" t="str">
        <f>_xlfn.IFS(AND(HR_Data[[#This Row],[Age]]&gt;=18,HR_Data[[#This Row],[Age]]&lt;=25),"18-25",AND(HR_Data[[#This Row],[Age]]&gt;=26,HR_Data[[#This Row],[Age]]&lt;=35),"26-35",AND(HR_Data[[#This Row],[Age]]&gt;=36,HR_Data[[#This Row],[Age]]&lt;=45),"36-45",HR_Data[[#This Row],[Age]]&gt;45,"45+")</f>
        <v>26-35</v>
      </c>
      <c r="AL1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65" spans="1:38"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f>IF(HR_Data[[#This Row],[Attrition]]="Yes",1,0)</f>
        <v>0</v>
      </c>
      <c r="AK165" t="str">
        <f>_xlfn.IFS(AND(HR_Data[[#This Row],[Age]]&gt;=18,HR_Data[[#This Row],[Age]]&lt;=25),"18-25",AND(HR_Data[[#This Row],[Age]]&gt;=26,HR_Data[[#This Row],[Age]]&lt;=35),"26-35",AND(HR_Data[[#This Row],[Age]]&gt;=36,HR_Data[[#This Row],[Age]]&lt;=45),"36-45",HR_Data[[#This Row],[Age]]&gt;45,"45+")</f>
        <v>45+</v>
      </c>
      <c r="AL1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66" spans="1:38"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f>IF(HR_Data[[#This Row],[Attrition]]="Yes",1,0)</f>
        <v>0</v>
      </c>
      <c r="AK166" t="str">
        <f>_xlfn.IFS(AND(HR_Data[[#This Row],[Age]]&gt;=18,HR_Data[[#This Row],[Age]]&lt;=25),"18-25",AND(HR_Data[[#This Row],[Age]]&gt;=26,HR_Data[[#This Row],[Age]]&lt;=35),"26-35",AND(HR_Data[[#This Row],[Age]]&gt;=36,HR_Data[[#This Row],[Age]]&lt;=45),"36-45",HR_Data[[#This Row],[Age]]&gt;45,"45+")</f>
        <v>26-35</v>
      </c>
      <c r="AL1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67" spans="1:38"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f>IF(HR_Data[[#This Row],[Attrition]]="Yes",1,0)</f>
        <v>0</v>
      </c>
      <c r="AK167" t="str">
        <f>_xlfn.IFS(AND(HR_Data[[#This Row],[Age]]&gt;=18,HR_Data[[#This Row],[Age]]&lt;=25),"18-25",AND(HR_Data[[#This Row],[Age]]&gt;=26,HR_Data[[#This Row],[Age]]&lt;=35),"26-35",AND(HR_Data[[#This Row],[Age]]&gt;=36,HR_Data[[#This Row],[Age]]&lt;=45),"36-45",HR_Data[[#This Row],[Age]]&gt;45,"45+")</f>
        <v>45+</v>
      </c>
      <c r="AL1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68" spans="1:38"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f>IF(HR_Data[[#This Row],[Attrition]]="Yes",1,0)</f>
        <v>0</v>
      </c>
      <c r="AK168" t="str">
        <f>_xlfn.IFS(AND(HR_Data[[#This Row],[Age]]&gt;=18,HR_Data[[#This Row],[Age]]&lt;=25),"18-25",AND(HR_Data[[#This Row],[Age]]&gt;=26,HR_Data[[#This Row],[Age]]&lt;=35),"26-35",AND(HR_Data[[#This Row],[Age]]&gt;=36,HR_Data[[#This Row],[Age]]&lt;=45),"36-45",HR_Data[[#This Row],[Age]]&gt;45,"45+")</f>
        <v>36-45</v>
      </c>
      <c r="AL1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69" spans="1:38"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f>IF(HR_Data[[#This Row],[Attrition]]="Yes",1,0)</f>
        <v>0</v>
      </c>
      <c r="AK169" t="str">
        <f>_xlfn.IFS(AND(HR_Data[[#This Row],[Age]]&gt;=18,HR_Data[[#This Row],[Age]]&lt;=25),"18-25",AND(HR_Data[[#This Row],[Age]]&gt;=26,HR_Data[[#This Row],[Age]]&lt;=35),"26-35",AND(HR_Data[[#This Row],[Age]]&gt;=36,HR_Data[[#This Row],[Age]]&lt;=45),"36-45",HR_Data[[#This Row],[Age]]&gt;45,"45+")</f>
        <v>26-35</v>
      </c>
      <c r="AL1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70" spans="1:38"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f>IF(HR_Data[[#This Row],[Attrition]]="Yes",1,0)</f>
        <v>0</v>
      </c>
      <c r="AK170" t="str">
        <f>_xlfn.IFS(AND(HR_Data[[#This Row],[Age]]&gt;=18,HR_Data[[#This Row],[Age]]&lt;=25),"18-25",AND(HR_Data[[#This Row],[Age]]&gt;=26,HR_Data[[#This Row],[Age]]&lt;=35),"26-35",AND(HR_Data[[#This Row],[Age]]&gt;=36,HR_Data[[#This Row],[Age]]&lt;=45),"36-45",HR_Data[[#This Row],[Age]]&gt;45,"45+")</f>
        <v>36-45</v>
      </c>
      <c r="AL1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71" spans="1:38"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f>IF(HR_Data[[#This Row],[Attrition]]="Yes",1,0)</f>
        <v>0</v>
      </c>
      <c r="AK171" t="str">
        <f>_xlfn.IFS(AND(HR_Data[[#This Row],[Age]]&gt;=18,HR_Data[[#This Row],[Age]]&lt;=25),"18-25",AND(HR_Data[[#This Row],[Age]]&gt;=26,HR_Data[[#This Row],[Age]]&lt;=35),"26-35",AND(HR_Data[[#This Row],[Age]]&gt;=36,HR_Data[[#This Row],[Age]]&lt;=45),"36-45",HR_Data[[#This Row],[Age]]&gt;45,"45+")</f>
        <v>26-35</v>
      </c>
      <c r="AL1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72" spans="1:38"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f>IF(HR_Data[[#This Row],[Attrition]]="Yes",1,0)</f>
        <v>0</v>
      </c>
      <c r="AK172" t="str">
        <f>_xlfn.IFS(AND(HR_Data[[#This Row],[Age]]&gt;=18,HR_Data[[#This Row],[Age]]&lt;=25),"18-25",AND(HR_Data[[#This Row],[Age]]&gt;=26,HR_Data[[#This Row],[Age]]&lt;=35),"26-35",AND(HR_Data[[#This Row],[Age]]&gt;=36,HR_Data[[#This Row],[Age]]&lt;=45),"36-45",HR_Data[[#This Row],[Age]]&gt;45,"45+")</f>
        <v>26-35</v>
      </c>
      <c r="AL1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73" spans="1:38"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f>IF(HR_Data[[#This Row],[Attrition]]="Yes",1,0)</f>
        <v>1</v>
      </c>
      <c r="AK173" t="str">
        <f>_xlfn.IFS(AND(HR_Data[[#This Row],[Age]]&gt;=18,HR_Data[[#This Row],[Age]]&lt;=25),"18-25",AND(HR_Data[[#This Row],[Age]]&gt;=26,HR_Data[[#This Row],[Age]]&lt;=35),"26-35",AND(HR_Data[[#This Row],[Age]]&gt;=36,HR_Data[[#This Row],[Age]]&lt;=45),"36-45",HR_Data[[#This Row],[Age]]&gt;45,"45+")</f>
        <v>18-25</v>
      </c>
      <c r="AL1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74" spans="1:38"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f>IF(HR_Data[[#This Row],[Attrition]]="Yes",1,0)</f>
        <v>0</v>
      </c>
      <c r="AK174" t="str">
        <f>_xlfn.IFS(AND(HR_Data[[#This Row],[Age]]&gt;=18,HR_Data[[#This Row],[Age]]&lt;=25),"18-25",AND(HR_Data[[#This Row],[Age]]&gt;=26,HR_Data[[#This Row],[Age]]&lt;=35),"26-35",AND(HR_Data[[#This Row],[Age]]&gt;=36,HR_Data[[#This Row],[Age]]&lt;=45),"36-45",HR_Data[[#This Row],[Age]]&gt;45,"45+")</f>
        <v>36-45</v>
      </c>
      <c r="AL1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75" spans="1:38"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f>IF(HR_Data[[#This Row],[Attrition]]="Yes",1,0)</f>
        <v>0</v>
      </c>
      <c r="AK175" t="str">
        <f>_xlfn.IFS(AND(HR_Data[[#This Row],[Age]]&gt;=18,HR_Data[[#This Row],[Age]]&lt;=25),"18-25",AND(HR_Data[[#This Row],[Age]]&gt;=26,HR_Data[[#This Row],[Age]]&lt;=35),"26-35",AND(HR_Data[[#This Row],[Age]]&gt;=36,HR_Data[[#This Row],[Age]]&lt;=45),"36-45",HR_Data[[#This Row],[Age]]&gt;45,"45+")</f>
        <v>26-35</v>
      </c>
      <c r="AL1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76" spans="1:38"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f>IF(HR_Data[[#This Row],[Attrition]]="Yes",1,0)</f>
        <v>0</v>
      </c>
      <c r="AK176" t="str">
        <f>_xlfn.IFS(AND(HR_Data[[#This Row],[Age]]&gt;=18,HR_Data[[#This Row],[Age]]&lt;=25),"18-25",AND(HR_Data[[#This Row],[Age]]&gt;=26,HR_Data[[#This Row],[Age]]&lt;=35),"26-35",AND(HR_Data[[#This Row],[Age]]&gt;=36,HR_Data[[#This Row],[Age]]&lt;=45),"36-45",HR_Data[[#This Row],[Age]]&gt;45,"45+")</f>
        <v>36-45</v>
      </c>
      <c r="AL1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77" spans="1:38"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f>IF(HR_Data[[#This Row],[Attrition]]="Yes",1,0)</f>
        <v>0</v>
      </c>
      <c r="AK177" t="str">
        <f>_xlfn.IFS(AND(HR_Data[[#This Row],[Age]]&gt;=18,HR_Data[[#This Row],[Age]]&lt;=25),"18-25",AND(HR_Data[[#This Row],[Age]]&gt;=26,HR_Data[[#This Row],[Age]]&lt;=35),"26-35",AND(HR_Data[[#This Row],[Age]]&gt;=36,HR_Data[[#This Row],[Age]]&lt;=45),"36-45",HR_Data[[#This Row],[Age]]&gt;45,"45+")</f>
        <v>45+</v>
      </c>
      <c r="AL1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78" spans="1:38"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f>IF(HR_Data[[#This Row],[Attrition]]="Yes",1,0)</f>
        <v>0</v>
      </c>
      <c r="AK178" t="str">
        <f>_xlfn.IFS(AND(HR_Data[[#This Row],[Age]]&gt;=18,HR_Data[[#This Row],[Age]]&lt;=25),"18-25",AND(HR_Data[[#This Row],[Age]]&gt;=26,HR_Data[[#This Row],[Age]]&lt;=35),"26-35",AND(HR_Data[[#This Row],[Age]]&gt;=36,HR_Data[[#This Row],[Age]]&lt;=45),"36-45",HR_Data[[#This Row],[Age]]&gt;45,"45+")</f>
        <v>26-35</v>
      </c>
      <c r="AL1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79" spans="1:38"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f>IF(HR_Data[[#This Row],[Attrition]]="Yes",1,0)</f>
        <v>1</v>
      </c>
      <c r="AK179" t="str">
        <f>_xlfn.IFS(AND(HR_Data[[#This Row],[Age]]&gt;=18,HR_Data[[#This Row],[Age]]&lt;=25),"18-25",AND(HR_Data[[#This Row],[Age]]&gt;=26,HR_Data[[#This Row],[Age]]&lt;=35),"26-35",AND(HR_Data[[#This Row],[Age]]&gt;=36,HR_Data[[#This Row],[Age]]&lt;=45),"36-45",HR_Data[[#This Row],[Age]]&gt;45,"45+")</f>
        <v>18-25</v>
      </c>
      <c r="AL1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80" spans="1:38"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f>IF(HR_Data[[#This Row],[Attrition]]="Yes",1,0)</f>
        <v>0</v>
      </c>
      <c r="AK180" t="str">
        <f>_xlfn.IFS(AND(HR_Data[[#This Row],[Age]]&gt;=18,HR_Data[[#This Row],[Age]]&lt;=25),"18-25",AND(HR_Data[[#This Row],[Age]]&gt;=26,HR_Data[[#This Row],[Age]]&lt;=35),"26-35",AND(HR_Data[[#This Row],[Age]]&gt;=36,HR_Data[[#This Row],[Age]]&lt;=45),"36-45",HR_Data[[#This Row],[Age]]&gt;45,"45+")</f>
        <v>45+</v>
      </c>
      <c r="AL1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81" spans="1:38"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f>IF(HR_Data[[#This Row],[Attrition]]="Yes",1,0)</f>
        <v>0</v>
      </c>
      <c r="AK181" t="str">
        <f>_xlfn.IFS(AND(HR_Data[[#This Row],[Age]]&gt;=18,HR_Data[[#This Row],[Age]]&lt;=25),"18-25",AND(HR_Data[[#This Row],[Age]]&gt;=26,HR_Data[[#This Row],[Age]]&lt;=35),"26-35",AND(HR_Data[[#This Row],[Age]]&gt;=36,HR_Data[[#This Row],[Age]]&lt;=45),"36-45",HR_Data[[#This Row],[Age]]&gt;45,"45+")</f>
        <v>36-45</v>
      </c>
      <c r="AL1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82" spans="1:38"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f>IF(HR_Data[[#This Row],[Attrition]]="Yes",1,0)</f>
        <v>0</v>
      </c>
      <c r="AK182" t="str">
        <f>_xlfn.IFS(AND(HR_Data[[#This Row],[Age]]&gt;=18,HR_Data[[#This Row],[Age]]&lt;=25),"18-25",AND(HR_Data[[#This Row],[Age]]&gt;=26,HR_Data[[#This Row],[Age]]&lt;=35),"26-35",AND(HR_Data[[#This Row],[Age]]&gt;=36,HR_Data[[#This Row],[Age]]&lt;=45),"36-45",HR_Data[[#This Row],[Age]]&gt;45,"45+")</f>
        <v>26-35</v>
      </c>
      <c r="AL1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83" spans="1:38"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f>IF(HR_Data[[#This Row],[Attrition]]="Yes",1,0)</f>
        <v>0</v>
      </c>
      <c r="AK183" t="str">
        <f>_xlfn.IFS(AND(HR_Data[[#This Row],[Age]]&gt;=18,HR_Data[[#This Row],[Age]]&lt;=25),"18-25",AND(HR_Data[[#This Row],[Age]]&gt;=26,HR_Data[[#This Row],[Age]]&lt;=35),"26-35",AND(HR_Data[[#This Row],[Age]]&gt;=36,HR_Data[[#This Row],[Age]]&lt;=45),"36-45",HR_Data[[#This Row],[Age]]&gt;45,"45+")</f>
        <v>26-35</v>
      </c>
      <c r="AL1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84" spans="1:38"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f>IF(HR_Data[[#This Row],[Attrition]]="Yes",1,0)</f>
        <v>1</v>
      </c>
      <c r="AK184" t="str">
        <f>_xlfn.IFS(AND(HR_Data[[#This Row],[Age]]&gt;=18,HR_Data[[#This Row],[Age]]&lt;=25),"18-25",AND(HR_Data[[#This Row],[Age]]&gt;=26,HR_Data[[#This Row],[Age]]&lt;=35),"26-35",AND(HR_Data[[#This Row],[Age]]&gt;=36,HR_Data[[#This Row],[Age]]&lt;=45),"36-45",HR_Data[[#This Row],[Age]]&gt;45,"45+")</f>
        <v>36-45</v>
      </c>
      <c r="AL1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85" spans="1:38"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f>IF(HR_Data[[#This Row],[Attrition]]="Yes",1,0)</f>
        <v>0</v>
      </c>
      <c r="AK185" t="str">
        <f>_xlfn.IFS(AND(HR_Data[[#This Row],[Age]]&gt;=18,HR_Data[[#This Row],[Age]]&lt;=25),"18-25",AND(HR_Data[[#This Row],[Age]]&gt;=26,HR_Data[[#This Row],[Age]]&lt;=35),"26-35",AND(HR_Data[[#This Row],[Age]]&gt;=36,HR_Data[[#This Row],[Age]]&lt;=45),"36-45",HR_Data[[#This Row],[Age]]&gt;45,"45+")</f>
        <v>45+</v>
      </c>
      <c r="AL1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86" spans="1:38"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f>IF(HR_Data[[#This Row],[Attrition]]="Yes",1,0)</f>
        <v>0</v>
      </c>
      <c r="AK186" t="str">
        <f>_xlfn.IFS(AND(HR_Data[[#This Row],[Age]]&gt;=18,HR_Data[[#This Row],[Age]]&lt;=25),"18-25",AND(HR_Data[[#This Row],[Age]]&gt;=26,HR_Data[[#This Row],[Age]]&lt;=35),"26-35",AND(HR_Data[[#This Row],[Age]]&gt;=36,HR_Data[[#This Row],[Age]]&lt;=45),"36-45",HR_Data[[#This Row],[Age]]&gt;45,"45+")</f>
        <v>45+</v>
      </c>
      <c r="AL1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87" spans="1:38"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f>IF(HR_Data[[#This Row],[Attrition]]="Yes",1,0)</f>
        <v>0</v>
      </c>
      <c r="AK187" t="str">
        <f>_xlfn.IFS(AND(HR_Data[[#This Row],[Age]]&gt;=18,HR_Data[[#This Row],[Age]]&lt;=25),"18-25",AND(HR_Data[[#This Row],[Age]]&gt;=26,HR_Data[[#This Row],[Age]]&lt;=35),"26-35",AND(HR_Data[[#This Row],[Age]]&gt;=36,HR_Data[[#This Row],[Age]]&lt;=45),"36-45",HR_Data[[#This Row],[Age]]&gt;45,"45+")</f>
        <v>26-35</v>
      </c>
      <c r="AL1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88" spans="1:38"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f>IF(HR_Data[[#This Row],[Attrition]]="Yes",1,0)</f>
        <v>0</v>
      </c>
      <c r="AK188" t="str">
        <f>_xlfn.IFS(AND(HR_Data[[#This Row],[Age]]&gt;=18,HR_Data[[#This Row],[Age]]&lt;=25),"18-25",AND(HR_Data[[#This Row],[Age]]&gt;=26,HR_Data[[#This Row],[Age]]&lt;=35),"26-35",AND(HR_Data[[#This Row],[Age]]&gt;=36,HR_Data[[#This Row],[Age]]&lt;=45),"36-45",HR_Data[[#This Row],[Age]]&gt;45,"45+")</f>
        <v>36-45</v>
      </c>
      <c r="AL1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89" spans="1:38"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f>IF(HR_Data[[#This Row],[Attrition]]="Yes",1,0)</f>
        <v>0</v>
      </c>
      <c r="AK189" t="str">
        <f>_xlfn.IFS(AND(HR_Data[[#This Row],[Age]]&gt;=18,HR_Data[[#This Row],[Age]]&lt;=25),"18-25",AND(HR_Data[[#This Row],[Age]]&gt;=26,HR_Data[[#This Row],[Age]]&lt;=35),"26-35",AND(HR_Data[[#This Row],[Age]]&gt;=36,HR_Data[[#This Row],[Age]]&lt;=45),"36-45",HR_Data[[#This Row],[Age]]&gt;45,"45+")</f>
        <v>45+</v>
      </c>
      <c r="AL1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90" spans="1:38"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f>IF(HR_Data[[#This Row],[Attrition]]="Yes",1,0)</f>
        <v>0</v>
      </c>
      <c r="AK190" t="str">
        <f>_xlfn.IFS(AND(HR_Data[[#This Row],[Age]]&gt;=18,HR_Data[[#This Row],[Age]]&lt;=25),"18-25",AND(HR_Data[[#This Row],[Age]]&gt;=26,HR_Data[[#This Row],[Age]]&lt;=35),"26-35",AND(HR_Data[[#This Row],[Age]]&gt;=36,HR_Data[[#This Row],[Age]]&lt;=45),"36-45",HR_Data[[#This Row],[Age]]&gt;45,"45+")</f>
        <v>26-35</v>
      </c>
      <c r="AL1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91" spans="1:38"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f>IF(HR_Data[[#This Row],[Attrition]]="Yes",1,0)</f>
        <v>0</v>
      </c>
      <c r="AK191" t="str">
        <f>_xlfn.IFS(AND(HR_Data[[#This Row],[Age]]&gt;=18,HR_Data[[#This Row],[Age]]&lt;=25),"18-25",AND(HR_Data[[#This Row],[Age]]&gt;=26,HR_Data[[#This Row],[Age]]&lt;=35),"26-35",AND(HR_Data[[#This Row],[Age]]&gt;=36,HR_Data[[#This Row],[Age]]&lt;=45),"36-45",HR_Data[[#This Row],[Age]]&gt;45,"45+")</f>
        <v>45+</v>
      </c>
      <c r="AL1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92" spans="1:38"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f>IF(HR_Data[[#This Row],[Attrition]]="Yes",1,0)</f>
        <v>0</v>
      </c>
      <c r="AK192" t="str">
        <f>_xlfn.IFS(AND(HR_Data[[#This Row],[Age]]&gt;=18,HR_Data[[#This Row],[Age]]&lt;=25),"18-25",AND(HR_Data[[#This Row],[Age]]&gt;=26,HR_Data[[#This Row],[Age]]&lt;=35),"26-35",AND(HR_Data[[#This Row],[Age]]&gt;=36,HR_Data[[#This Row],[Age]]&lt;=45),"36-45",HR_Data[[#This Row],[Age]]&gt;45,"45+")</f>
        <v>45+</v>
      </c>
      <c r="AL1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93" spans="1:38"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f>IF(HR_Data[[#This Row],[Attrition]]="Yes",1,0)</f>
        <v>0</v>
      </c>
      <c r="AK193" t="str">
        <f>_xlfn.IFS(AND(HR_Data[[#This Row],[Age]]&gt;=18,HR_Data[[#This Row],[Age]]&lt;=25),"18-25",AND(HR_Data[[#This Row],[Age]]&gt;=26,HR_Data[[#This Row],[Age]]&lt;=35),"26-35",AND(HR_Data[[#This Row],[Age]]&gt;=36,HR_Data[[#This Row],[Age]]&lt;=45),"36-45",HR_Data[[#This Row],[Age]]&gt;45,"45+")</f>
        <v>26-35</v>
      </c>
      <c r="AL1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94" spans="1:38"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f>IF(HR_Data[[#This Row],[Attrition]]="Yes",1,0)</f>
        <v>1</v>
      </c>
      <c r="AK194" t="str">
        <f>_xlfn.IFS(AND(HR_Data[[#This Row],[Age]]&gt;=18,HR_Data[[#This Row],[Age]]&lt;=25),"18-25",AND(HR_Data[[#This Row],[Age]]&gt;=26,HR_Data[[#This Row],[Age]]&lt;=35),"26-35",AND(HR_Data[[#This Row],[Age]]&gt;=36,HR_Data[[#This Row],[Age]]&lt;=45),"36-45",HR_Data[[#This Row],[Age]]&gt;45,"45+")</f>
        <v>26-35</v>
      </c>
      <c r="AL1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95" spans="1:38"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f>IF(HR_Data[[#This Row],[Attrition]]="Yes",1,0)</f>
        <v>0</v>
      </c>
      <c r="AK195" t="str">
        <f>_xlfn.IFS(AND(HR_Data[[#This Row],[Age]]&gt;=18,HR_Data[[#This Row],[Age]]&lt;=25),"18-25",AND(HR_Data[[#This Row],[Age]]&gt;=26,HR_Data[[#This Row],[Age]]&lt;=35),"26-35",AND(HR_Data[[#This Row],[Age]]&gt;=36,HR_Data[[#This Row],[Age]]&lt;=45),"36-45",HR_Data[[#This Row],[Age]]&gt;45,"45+")</f>
        <v>36-45</v>
      </c>
      <c r="AL1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96" spans="1:38"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f>IF(HR_Data[[#This Row],[Attrition]]="Yes",1,0)</f>
        <v>0</v>
      </c>
      <c r="AK196" t="str">
        <f>_xlfn.IFS(AND(HR_Data[[#This Row],[Age]]&gt;=18,HR_Data[[#This Row],[Age]]&lt;=25),"18-25",AND(HR_Data[[#This Row],[Age]]&gt;=26,HR_Data[[#This Row],[Age]]&lt;=35),"26-35",AND(HR_Data[[#This Row],[Age]]&gt;=36,HR_Data[[#This Row],[Age]]&lt;=45),"36-45",HR_Data[[#This Row],[Age]]&gt;45,"45+")</f>
        <v>36-45</v>
      </c>
      <c r="AL1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97" spans="1:38"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f>IF(HR_Data[[#This Row],[Attrition]]="Yes",1,0)</f>
        <v>0</v>
      </c>
      <c r="AK197" t="str">
        <f>_xlfn.IFS(AND(HR_Data[[#This Row],[Age]]&gt;=18,HR_Data[[#This Row],[Age]]&lt;=25),"18-25",AND(HR_Data[[#This Row],[Age]]&gt;=26,HR_Data[[#This Row],[Age]]&lt;=35),"26-35",AND(HR_Data[[#This Row],[Age]]&gt;=36,HR_Data[[#This Row],[Age]]&lt;=45),"36-45",HR_Data[[#This Row],[Age]]&gt;45,"45+")</f>
        <v>36-45</v>
      </c>
      <c r="AL1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98" spans="1:38"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f>IF(HR_Data[[#This Row],[Attrition]]="Yes",1,0)</f>
        <v>0</v>
      </c>
      <c r="AK198" t="str">
        <f>_xlfn.IFS(AND(HR_Data[[#This Row],[Age]]&gt;=18,HR_Data[[#This Row],[Age]]&lt;=25),"18-25",AND(HR_Data[[#This Row],[Age]]&gt;=26,HR_Data[[#This Row],[Age]]&lt;=35),"26-35",AND(HR_Data[[#This Row],[Age]]&gt;=36,HR_Data[[#This Row],[Age]]&lt;=45),"36-45",HR_Data[[#This Row],[Age]]&gt;45,"45+")</f>
        <v>26-35</v>
      </c>
      <c r="AL1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99" spans="1:38"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f>IF(HR_Data[[#This Row],[Attrition]]="Yes",1,0)</f>
        <v>0</v>
      </c>
      <c r="AK199" t="str">
        <f>_xlfn.IFS(AND(HR_Data[[#This Row],[Age]]&gt;=18,HR_Data[[#This Row],[Age]]&lt;=25),"18-25",AND(HR_Data[[#This Row],[Age]]&gt;=26,HR_Data[[#This Row],[Age]]&lt;=35),"26-35",AND(HR_Data[[#This Row],[Age]]&gt;=36,HR_Data[[#This Row],[Age]]&lt;=45),"36-45",HR_Data[[#This Row],[Age]]&gt;45,"45+")</f>
        <v>36-45</v>
      </c>
      <c r="AL1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00" spans="1:38"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f>IF(HR_Data[[#This Row],[Attrition]]="Yes",1,0)</f>
        <v>0</v>
      </c>
      <c r="AK200" t="str">
        <f>_xlfn.IFS(AND(HR_Data[[#This Row],[Age]]&gt;=18,HR_Data[[#This Row],[Age]]&lt;=25),"18-25",AND(HR_Data[[#This Row],[Age]]&gt;=26,HR_Data[[#This Row],[Age]]&lt;=35),"26-35",AND(HR_Data[[#This Row],[Age]]&gt;=36,HR_Data[[#This Row],[Age]]&lt;=45),"36-45",HR_Data[[#This Row],[Age]]&gt;45,"45+")</f>
        <v>36-45</v>
      </c>
      <c r="AL2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01" spans="1:38"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f>IF(HR_Data[[#This Row],[Attrition]]="Yes",1,0)</f>
        <v>0</v>
      </c>
      <c r="AK201" t="str">
        <f>_xlfn.IFS(AND(HR_Data[[#This Row],[Age]]&gt;=18,HR_Data[[#This Row],[Age]]&lt;=25),"18-25",AND(HR_Data[[#This Row],[Age]]&gt;=26,HR_Data[[#This Row],[Age]]&lt;=35),"26-35",AND(HR_Data[[#This Row],[Age]]&gt;=36,HR_Data[[#This Row],[Age]]&lt;=45),"36-45",HR_Data[[#This Row],[Age]]&gt;45,"45+")</f>
        <v>36-45</v>
      </c>
      <c r="AL2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02" spans="1:38"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f>IF(HR_Data[[#This Row],[Attrition]]="Yes",1,0)</f>
        <v>0</v>
      </c>
      <c r="AK202" t="str">
        <f>_xlfn.IFS(AND(HR_Data[[#This Row],[Age]]&gt;=18,HR_Data[[#This Row],[Age]]&lt;=25),"18-25",AND(HR_Data[[#This Row],[Age]]&gt;=26,HR_Data[[#This Row],[Age]]&lt;=35),"26-35",AND(HR_Data[[#This Row],[Age]]&gt;=36,HR_Data[[#This Row],[Age]]&lt;=45),"36-45",HR_Data[[#This Row],[Age]]&gt;45,"45+")</f>
        <v>26-35</v>
      </c>
      <c r="AL2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03" spans="1:38"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f>IF(HR_Data[[#This Row],[Attrition]]="Yes",1,0)</f>
        <v>0</v>
      </c>
      <c r="AK203" t="str">
        <f>_xlfn.IFS(AND(HR_Data[[#This Row],[Age]]&gt;=18,HR_Data[[#This Row],[Age]]&lt;=25),"18-25",AND(HR_Data[[#This Row],[Age]]&gt;=26,HR_Data[[#This Row],[Age]]&lt;=35),"26-35",AND(HR_Data[[#This Row],[Age]]&gt;=36,HR_Data[[#This Row],[Age]]&lt;=45),"36-45",HR_Data[[#This Row],[Age]]&gt;45,"45+")</f>
        <v>45+</v>
      </c>
      <c r="AL2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04" spans="1:38"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f>IF(HR_Data[[#This Row],[Attrition]]="Yes",1,0)</f>
        <v>0</v>
      </c>
      <c r="AK204" t="str">
        <f>_xlfn.IFS(AND(HR_Data[[#This Row],[Age]]&gt;=18,HR_Data[[#This Row],[Age]]&lt;=25),"18-25",AND(HR_Data[[#This Row],[Age]]&gt;=26,HR_Data[[#This Row],[Age]]&lt;=35),"26-35",AND(HR_Data[[#This Row],[Age]]&gt;=36,HR_Data[[#This Row],[Age]]&lt;=45),"36-45",HR_Data[[#This Row],[Age]]&gt;45,"45+")</f>
        <v>26-35</v>
      </c>
      <c r="AL2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05" spans="1:38"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f>IF(HR_Data[[#This Row],[Attrition]]="Yes",1,0)</f>
        <v>0</v>
      </c>
      <c r="AK205" t="str">
        <f>_xlfn.IFS(AND(HR_Data[[#This Row],[Age]]&gt;=18,HR_Data[[#This Row],[Age]]&lt;=25),"18-25",AND(HR_Data[[#This Row],[Age]]&gt;=26,HR_Data[[#This Row],[Age]]&lt;=35),"26-35",AND(HR_Data[[#This Row],[Age]]&gt;=36,HR_Data[[#This Row],[Age]]&lt;=45),"36-45",HR_Data[[#This Row],[Age]]&gt;45,"45+")</f>
        <v>36-45</v>
      </c>
      <c r="AL2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06" spans="1:38"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f>IF(HR_Data[[#This Row],[Attrition]]="Yes",1,0)</f>
        <v>1</v>
      </c>
      <c r="AK206" t="str">
        <f>_xlfn.IFS(AND(HR_Data[[#This Row],[Age]]&gt;=18,HR_Data[[#This Row],[Age]]&lt;=25),"18-25",AND(HR_Data[[#This Row],[Age]]&gt;=26,HR_Data[[#This Row],[Age]]&lt;=35),"26-35",AND(HR_Data[[#This Row],[Age]]&gt;=36,HR_Data[[#This Row],[Age]]&lt;=45),"36-45",HR_Data[[#This Row],[Age]]&gt;45,"45+")</f>
        <v>36-45</v>
      </c>
      <c r="AL2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07" spans="1:38"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f>IF(HR_Data[[#This Row],[Attrition]]="Yes",1,0)</f>
        <v>1</v>
      </c>
      <c r="AK207" t="str">
        <f>_xlfn.IFS(AND(HR_Data[[#This Row],[Age]]&gt;=18,HR_Data[[#This Row],[Age]]&lt;=25),"18-25",AND(HR_Data[[#This Row],[Age]]&gt;=26,HR_Data[[#This Row],[Age]]&lt;=35),"26-35",AND(HR_Data[[#This Row],[Age]]&gt;=36,HR_Data[[#This Row],[Age]]&lt;=45),"36-45",HR_Data[[#This Row],[Age]]&gt;45,"45+")</f>
        <v>26-35</v>
      </c>
      <c r="AL2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08" spans="1:38"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f>IF(HR_Data[[#This Row],[Attrition]]="Yes",1,0)</f>
        <v>0</v>
      </c>
      <c r="AK208" t="str">
        <f>_xlfn.IFS(AND(HR_Data[[#This Row],[Age]]&gt;=18,HR_Data[[#This Row],[Age]]&lt;=25),"18-25",AND(HR_Data[[#This Row],[Age]]&gt;=26,HR_Data[[#This Row],[Age]]&lt;=35),"26-35",AND(HR_Data[[#This Row],[Age]]&gt;=36,HR_Data[[#This Row],[Age]]&lt;=45),"36-45",HR_Data[[#This Row],[Age]]&gt;45,"45+")</f>
        <v>18-25</v>
      </c>
      <c r="AL2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09" spans="1:38"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f>IF(HR_Data[[#This Row],[Attrition]]="Yes",1,0)</f>
        <v>0</v>
      </c>
      <c r="AK209" t="str">
        <f>_xlfn.IFS(AND(HR_Data[[#This Row],[Age]]&gt;=18,HR_Data[[#This Row],[Age]]&lt;=25),"18-25",AND(HR_Data[[#This Row],[Age]]&gt;=26,HR_Data[[#This Row],[Age]]&lt;=35),"26-35",AND(HR_Data[[#This Row],[Age]]&gt;=36,HR_Data[[#This Row],[Age]]&lt;=45),"36-45",HR_Data[[#This Row],[Age]]&gt;45,"45+")</f>
        <v>36-45</v>
      </c>
      <c r="AL2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10" spans="1:38"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f>IF(HR_Data[[#This Row],[Attrition]]="Yes",1,0)</f>
        <v>0</v>
      </c>
      <c r="AK210" t="str">
        <f>_xlfn.IFS(AND(HR_Data[[#This Row],[Age]]&gt;=18,HR_Data[[#This Row],[Age]]&lt;=25),"18-25",AND(HR_Data[[#This Row],[Age]]&gt;=26,HR_Data[[#This Row],[Age]]&lt;=35),"26-35",AND(HR_Data[[#This Row],[Age]]&gt;=36,HR_Data[[#This Row],[Age]]&lt;=45),"36-45",HR_Data[[#This Row],[Age]]&gt;45,"45+")</f>
        <v>36-45</v>
      </c>
      <c r="AL2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11" spans="1:38"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f>IF(HR_Data[[#This Row],[Attrition]]="Yes",1,0)</f>
        <v>0</v>
      </c>
      <c r="AK211" t="str">
        <f>_xlfn.IFS(AND(HR_Data[[#This Row],[Age]]&gt;=18,HR_Data[[#This Row],[Age]]&lt;=25),"18-25",AND(HR_Data[[#This Row],[Age]]&gt;=26,HR_Data[[#This Row],[Age]]&lt;=35),"26-35",AND(HR_Data[[#This Row],[Age]]&gt;=36,HR_Data[[#This Row],[Age]]&lt;=45),"36-45",HR_Data[[#This Row],[Age]]&gt;45,"45+")</f>
        <v>45+</v>
      </c>
      <c r="AL2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12" spans="1:38"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f>IF(HR_Data[[#This Row],[Attrition]]="Yes",1,0)</f>
        <v>1</v>
      </c>
      <c r="AK212" t="str">
        <f>_xlfn.IFS(AND(HR_Data[[#This Row],[Age]]&gt;=18,HR_Data[[#This Row],[Age]]&lt;=25),"18-25",AND(HR_Data[[#This Row],[Age]]&gt;=26,HR_Data[[#This Row],[Age]]&lt;=35),"26-35",AND(HR_Data[[#This Row],[Age]]&gt;=36,HR_Data[[#This Row],[Age]]&lt;=45),"36-45",HR_Data[[#This Row],[Age]]&gt;45,"45+")</f>
        <v>26-35</v>
      </c>
      <c r="AL2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13" spans="1:38"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f>IF(HR_Data[[#This Row],[Attrition]]="Yes",1,0)</f>
        <v>0</v>
      </c>
      <c r="AK213" t="str">
        <f>_xlfn.IFS(AND(HR_Data[[#This Row],[Age]]&gt;=18,HR_Data[[#This Row],[Age]]&lt;=25),"18-25",AND(HR_Data[[#This Row],[Age]]&gt;=26,HR_Data[[#This Row],[Age]]&lt;=35),"26-35",AND(HR_Data[[#This Row],[Age]]&gt;=36,HR_Data[[#This Row],[Age]]&lt;=45),"36-45",HR_Data[[#This Row],[Age]]&gt;45,"45+")</f>
        <v>26-35</v>
      </c>
      <c r="AL2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14" spans="1:38"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f>IF(HR_Data[[#This Row],[Attrition]]="Yes",1,0)</f>
        <v>0</v>
      </c>
      <c r="AK214" t="str">
        <f>_xlfn.IFS(AND(HR_Data[[#This Row],[Age]]&gt;=18,HR_Data[[#This Row],[Age]]&lt;=25),"18-25",AND(HR_Data[[#This Row],[Age]]&gt;=26,HR_Data[[#This Row],[Age]]&lt;=35),"26-35",AND(HR_Data[[#This Row],[Age]]&gt;=36,HR_Data[[#This Row],[Age]]&lt;=45),"36-45",HR_Data[[#This Row],[Age]]&gt;45,"45+")</f>
        <v>26-35</v>
      </c>
      <c r="AL2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15" spans="1:38"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f>IF(HR_Data[[#This Row],[Attrition]]="Yes",1,0)</f>
        <v>0</v>
      </c>
      <c r="AK215" t="str">
        <f>_xlfn.IFS(AND(HR_Data[[#This Row],[Age]]&gt;=18,HR_Data[[#This Row],[Age]]&lt;=25),"18-25",AND(HR_Data[[#This Row],[Age]]&gt;=26,HR_Data[[#This Row],[Age]]&lt;=35),"26-35",AND(HR_Data[[#This Row],[Age]]&gt;=36,HR_Data[[#This Row],[Age]]&lt;=45),"36-45",HR_Data[[#This Row],[Age]]&gt;45,"45+")</f>
        <v>45+</v>
      </c>
      <c r="AL2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16" spans="1:38"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f>IF(HR_Data[[#This Row],[Attrition]]="Yes",1,0)</f>
        <v>1</v>
      </c>
      <c r="AK216" t="str">
        <f>_xlfn.IFS(AND(HR_Data[[#This Row],[Age]]&gt;=18,HR_Data[[#This Row],[Age]]&lt;=25),"18-25",AND(HR_Data[[#This Row],[Age]]&gt;=26,HR_Data[[#This Row],[Age]]&lt;=35),"26-35",AND(HR_Data[[#This Row],[Age]]&gt;=36,HR_Data[[#This Row],[Age]]&lt;=45),"36-45",HR_Data[[#This Row],[Age]]&gt;45,"45+")</f>
        <v>26-35</v>
      </c>
      <c r="AL2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17" spans="1:38"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f>IF(HR_Data[[#This Row],[Attrition]]="Yes",1,0)</f>
        <v>0</v>
      </c>
      <c r="AK217" t="str">
        <f>_xlfn.IFS(AND(HR_Data[[#This Row],[Age]]&gt;=18,HR_Data[[#This Row],[Age]]&lt;=25),"18-25",AND(HR_Data[[#This Row],[Age]]&gt;=26,HR_Data[[#This Row],[Age]]&lt;=35),"26-35",AND(HR_Data[[#This Row],[Age]]&gt;=36,HR_Data[[#This Row],[Age]]&lt;=45),"36-45",HR_Data[[#This Row],[Age]]&gt;45,"45+")</f>
        <v>36-45</v>
      </c>
      <c r="AL2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18" spans="1:38"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f>IF(HR_Data[[#This Row],[Attrition]]="Yes",1,0)</f>
        <v>1</v>
      </c>
      <c r="AK218" t="str">
        <f>_xlfn.IFS(AND(HR_Data[[#This Row],[Age]]&gt;=18,HR_Data[[#This Row],[Age]]&lt;=25),"18-25",AND(HR_Data[[#This Row],[Age]]&gt;=26,HR_Data[[#This Row],[Age]]&lt;=35),"26-35",AND(HR_Data[[#This Row],[Age]]&gt;=36,HR_Data[[#This Row],[Age]]&lt;=45),"36-45",HR_Data[[#This Row],[Age]]&gt;45,"45+")</f>
        <v>26-35</v>
      </c>
      <c r="AL2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19" spans="1:38"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f>IF(HR_Data[[#This Row],[Attrition]]="Yes",1,0)</f>
        <v>1</v>
      </c>
      <c r="AK219" t="str">
        <f>_xlfn.IFS(AND(HR_Data[[#This Row],[Age]]&gt;=18,HR_Data[[#This Row],[Age]]&lt;=25),"18-25",AND(HR_Data[[#This Row],[Age]]&gt;=26,HR_Data[[#This Row],[Age]]&lt;=35),"26-35",AND(HR_Data[[#This Row],[Age]]&gt;=36,HR_Data[[#This Row],[Age]]&lt;=45),"36-45",HR_Data[[#This Row],[Age]]&gt;45,"45+")</f>
        <v>26-35</v>
      </c>
      <c r="AL2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20" spans="1:38"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f>IF(HR_Data[[#This Row],[Attrition]]="Yes",1,0)</f>
        <v>0</v>
      </c>
      <c r="AK220" t="str">
        <f>_xlfn.IFS(AND(HR_Data[[#This Row],[Age]]&gt;=18,HR_Data[[#This Row],[Age]]&lt;=25),"18-25",AND(HR_Data[[#This Row],[Age]]&gt;=26,HR_Data[[#This Row],[Age]]&lt;=35),"26-35",AND(HR_Data[[#This Row],[Age]]&gt;=36,HR_Data[[#This Row],[Age]]&lt;=45),"36-45",HR_Data[[#This Row],[Age]]&gt;45,"45+")</f>
        <v>36-45</v>
      </c>
      <c r="AL2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21" spans="1:38"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f>IF(HR_Data[[#This Row],[Attrition]]="Yes",1,0)</f>
        <v>0</v>
      </c>
      <c r="AK221" t="str">
        <f>_xlfn.IFS(AND(HR_Data[[#This Row],[Age]]&gt;=18,HR_Data[[#This Row],[Age]]&lt;=25),"18-25",AND(HR_Data[[#This Row],[Age]]&gt;=26,HR_Data[[#This Row],[Age]]&lt;=35),"26-35",AND(HR_Data[[#This Row],[Age]]&gt;=36,HR_Data[[#This Row],[Age]]&lt;=45),"36-45",HR_Data[[#This Row],[Age]]&gt;45,"45+")</f>
        <v>45+</v>
      </c>
      <c r="AL2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22" spans="1:38"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f>IF(HR_Data[[#This Row],[Attrition]]="Yes",1,0)</f>
        <v>0</v>
      </c>
      <c r="AK222" t="str">
        <f>_xlfn.IFS(AND(HR_Data[[#This Row],[Age]]&gt;=18,HR_Data[[#This Row],[Age]]&lt;=25),"18-25",AND(HR_Data[[#This Row],[Age]]&gt;=26,HR_Data[[#This Row],[Age]]&lt;=35),"26-35",AND(HR_Data[[#This Row],[Age]]&gt;=36,HR_Data[[#This Row],[Age]]&lt;=45),"36-45",HR_Data[[#This Row],[Age]]&gt;45,"45+")</f>
        <v>36-45</v>
      </c>
      <c r="AL2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23" spans="1:38"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f>IF(HR_Data[[#This Row],[Attrition]]="Yes",1,0)</f>
        <v>0</v>
      </c>
      <c r="AK223" t="str">
        <f>_xlfn.IFS(AND(HR_Data[[#This Row],[Age]]&gt;=18,HR_Data[[#This Row],[Age]]&lt;=25),"18-25",AND(HR_Data[[#This Row],[Age]]&gt;=26,HR_Data[[#This Row],[Age]]&lt;=35),"26-35",AND(HR_Data[[#This Row],[Age]]&gt;=36,HR_Data[[#This Row],[Age]]&lt;=45),"36-45",HR_Data[[#This Row],[Age]]&gt;45,"45+")</f>
        <v>26-35</v>
      </c>
      <c r="AL2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24" spans="1:38"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f>IF(HR_Data[[#This Row],[Attrition]]="Yes",1,0)</f>
        <v>0</v>
      </c>
      <c r="AK224" t="str">
        <f>_xlfn.IFS(AND(HR_Data[[#This Row],[Age]]&gt;=18,HR_Data[[#This Row],[Age]]&lt;=25),"18-25",AND(HR_Data[[#This Row],[Age]]&gt;=26,HR_Data[[#This Row],[Age]]&lt;=35),"26-35",AND(HR_Data[[#This Row],[Age]]&gt;=36,HR_Data[[#This Row],[Age]]&lt;=45),"36-45",HR_Data[[#This Row],[Age]]&gt;45,"45+")</f>
        <v>36-45</v>
      </c>
      <c r="AL2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25" spans="1:38"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f>IF(HR_Data[[#This Row],[Attrition]]="Yes",1,0)</f>
        <v>0</v>
      </c>
      <c r="AK225" t="str">
        <f>_xlfn.IFS(AND(HR_Data[[#This Row],[Age]]&gt;=18,HR_Data[[#This Row],[Age]]&lt;=25),"18-25",AND(HR_Data[[#This Row],[Age]]&gt;=26,HR_Data[[#This Row],[Age]]&lt;=35),"26-35",AND(HR_Data[[#This Row],[Age]]&gt;=36,HR_Data[[#This Row],[Age]]&lt;=45),"36-45",HR_Data[[#This Row],[Age]]&gt;45,"45+")</f>
        <v>36-45</v>
      </c>
      <c r="AL2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26" spans="1:38"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f>IF(HR_Data[[#This Row],[Attrition]]="Yes",1,0)</f>
        <v>0</v>
      </c>
      <c r="AK226" t="str">
        <f>_xlfn.IFS(AND(HR_Data[[#This Row],[Age]]&gt;=18,HR_Data[[#This Row],[Age]]&lt;=25),"18-25",AND(HR_Data[[#This Row],[Age]]&gt;=26,HR_Data[[#This Row],[Age]]&lt;=35),"26-35",AND(HR_Data[[#This Row],[Age]]&gt;=36,HR_Data[[#This Row],[Age]]&lt;=45),"36-45",HR_Data[[#This Row],[Age]]&gt;45,"45+")</f>
        <v>26-35</v>
      </c>
      <c r="AL2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27" spans="1:38"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f>IF(HR_Data[[#This Row],[Attrition]]="Yes",1,0)</f>
        <v>0</v>
      </c>
      <c r="AK227" t="str">
        <f>_xlfn.IFS(AND(HR_Data[[#This Row],[Age]]&gt;=18,HR_Data[[#This Row],[Age]]&lt;=25),"18-25",AND(HR_Data[[#This Row],[Age]]&gt;=26,HR_Data[[#This Row],[Age]]&lt;=35),"26-35",AND(HR_Data[[#This Row],[Age]]&gt;=36,HR_Data[[#This Row],[Age]]&lt;=45),"36-45",HR_Data[[#This Row],[Age]]&gt;45,"45+")</f>
        <v>45+</v>
      </c>
      <c r="AL2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28" spans="1:38"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f>IF(HR_Data[[#This Row],[Attrition]]="Yes",1,0)</f>
        <v>0</v>
      </c>
      <c r="AK228" t="str">
        <f>_xlfn.IFS(AND(HR_Data[[#This Row],[Age]]&gt;=18,HR_Data[[#This Row],[Age]]&lt;=25),"18-25",AND(HR_Data[[#This Row],[Age]]&gt;=26,HR_Data[[#This Row],[Age]]&lt;=35),"26-35",AND(HR_Data[[#This Row],[Age]]&gt;=36,HR_Data[[#This Row],[Age]]&lt;=45),"36-45",HR_Data[[#This Row],[Age]]&gt;45,"45+")</f>
        <v>36-45</v>
      </c>
      <c r="AL2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29" spans="1:38"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f>IF(HR_Data[[#This Row],[Attrition]]="Yes",1,0)</f>
        <v>0</v>
      </c>
      <c r="AK229" t="str">
        <f>_xlfn.IFS(AND(HR_Data[[#This Row],[Age]]&gt;=18,HR_Data[[#This Row],[Age]]&lt;=25),"18-25",AND(HR_Data[[#This Row],[Age]]&gt;=26,HR_Data[[#This Row],[Age]]&lt;=35),"26-35",AND(HR_Data[[#This Row],[Age]]&gt;=36,HR_Data[[#This Row],[Age]]&lt;=45),"36-45",HR_Data[[#This Row],[Age]]&gt;45,"45+")</f>
        <v>26-35</v>
      </c>
      <c r="AL2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30" spans="1:38"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f>IF(HR_Data[[#This Row],[Attrition]]="Yes",1,0)</f>
        <v>0</v>
      </c>
      <c r="AK230" t="str">
        <f>_xlfn.IFS(AND(HR_Data[[#This Row],[Age]]&gt;=18,HR_Data[[#This Row],[Age]]&lt;=25),"18-25",AND(HR_Data[[#This Row],[Age]]&gt;=26,HR_Data[[#This Row],[Age]]&lt;=35),"26-35",AND(HR_Data[[#This Row],[Age]]&gt;=36,HR_Data[[#This Row],[Age]]&lt;=45),"36-45",HR_Data[[#This Row],[Age]]&gt;45,"45+")</f>
        <v>26-35</v>
      </c>
      <c r="AL2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31" spans="1:38"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f>IF(HR_Data[[#This Row],[Attrition]]="Yes",1,0)</f>
        <v>1</v>
      </c>
      <c r="AK231" t="str">
        <f>_xlfn.IFS(AND(HR_Data[[#This Row],[Age]]&gt;=18,HR_Data[[#This Row],[Age]]&lt;=25),"18-25",AND(HR_Data[[#This Row],[Age]]&gt;=26,HR_Data[[#This Row],[Age]]&lt;=35),"26-35",AND(HR_Data[[#This Row],[Age]]&gt;=36,HR_Data[[#This Row],[Age]]&lt;=45),"36-45",HR_Data[[#This Row],[Age]]&gt;45,"45+")</f>
        <v>26-35</v>
      </c>
      <c r="AL2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32" spans="1:38"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f>IF(HR_Data[[#This Row],[Attrition]]="Yes",1,0)</f>
        <v>0</v>
      </c>
      <c r="AK232" t="str">
        <f>_xlfn.IFS(AND(HR_Data[[#This Row],[Age]]&gt;=18,HR_Data[[#This Row],[Age]]&lt;=25),"18-25",AND(HR_Data[[#This Row],[Age]]&gt;=26,HR_Data[[#This Row],[Age]]&lt;=35),"26-35",AND(HR_Data[[#This Row],[Age]]&gt;=36,HR_Data[[#This Row],[Age]]&lt;=45),"36-45",HR_Data[[#This Row],[Age]]&gt;45,"45+")</f>
        <v>45+</v>
      </c>
      <c r="AL2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33" spans="1:38"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f>IF(HR_Data[[#This Row],[Attrition]]="Yes",1,0)</f>
        <v>0</v>
      </c>
      <c r="AK233" t="str">
        <f>_xlfn.IFS(AND(HR_Data[[#This Row],[Age]]&gt;=18,HR_Data[[#This Row],[Age]]&lt;=25),"18-25",AND(HR_Data[[#This Row],[Age]]&gt;=26,HR_Data[[#This Row],[Age]]&lt;=35),"26-35",AND(HR_Data[[#This Row],[Age]]&gt;=36,HR_Data[[#This Row],[Age]]&lt;=45),"36-45",HR_Data[[#This Row],[Age]]&gt;45,"45+")</f>
        <v>36-45</v>
      </c>
      <c r="AL2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34" spans="1:38"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f>IF(HR_Data[[#This Row],[Attrition]]="Yes",1,0)</f>
        <v>0</v>
      </c>
      <c r="AK234" t="str">
        <f>_xlfn.IFS(AND(HR_Data[[#This Row],[Age]]&gt;=18,HR_Data[[#This Row],[Age]]&lt;=25),"18-25",AND(HR_Data[[#This Row],[Age]]&gt;=26,HR_Data[[#This Row],[Age]]&lt;=35),"26-35",AND(HR_Data[[#This Row],[Age]]&gt;=36,HR_Data[[#This Row],[Age]]&lt;=45),"36-45",HR_Data[[#This Row],[Age]]&gt;45,"45+")</f>
        <v>45+</v>
      </c>
      <c r="AL2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35" spans="1:38"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f>IF(HR_Data[[#This Row],[Attrition]]="Yes",1,0)</f>
        <v>0</v>
      </c>
      <c r="AK235" t="str">
        <f>_xlfn.IFS(AND(HR_Data[[#This Row],[Age]]&gt;=18,HR_Data[[#This Row],[Age]]&lt;=25),"18-25",AND(HR_Data[[#This Row],[Age]]&gt;=26,HR_Data[[#This Row],[Age]]&lt;=35),"26-35",AND(HR_Data[[#This Row],[Age]]&gt;=36,HR_Data[[#This Row],[Age]]&lt;=45),"36-45",HR_Data[[#This Row],[Age]]&gt;45,"45+")</f>
        <v>45+</v>
      </c>
      <c r="AL2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36" spans="1:38"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f>IF(HR_Data[[#This Row],[Attrition]]="Yes",1,0)</f>
        <v>1</v>
      </c>
      <c r="AK236" t="str">
        <f>_xlfn.IFS(AND(HR_Data[[#This Row],[Age]]&gt;=18,HR_Data[[#This Row],[Age]]&lt;=25),"18-25",AND(HR_Data[[#This Row],[Age]]&gt;=26,HR_Data[[#This Row],[Age]]&lt;=35),"26-35",AND(HR_Data[[#This Row],[Age]]&gt;=36,HR_Data[[#This Row],[Age]]&lt;=45),"36-45",HR_Data[[#This Row],[Age]]&gt;45,"45+")</f>
        <v>26-35</v>
      </c>
      <c r="AL2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37" spans="1:38"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f>IF(HR_Data[[#This Row],[Attrition]]="Yes",1,0)</f>
        <v>0</v>
      </c>
      <c r="AK237" t="str">
        <f>_xlfn.IFS(AND(HR_Data[[#This Row],[Age]]&gt;=18,HR_Data[[#This Row],[Age]]&lt;=25),"18-25",AND(HR_Data[[#This Row],[Age]]&gt;=26,HR_Data[[#This Row],[Age]]&lt;=35),"26-35",AND(HR_Data[[#This Row],[Age]]&gt;=36,HR_Data[[#This Row],[Age]]&lt;=45),"36-45",HR_Data[[#This Row],[Age]]&gt;45,"45+")</f>
        <v>36-45</v>
      </c>
      <c r="AL2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38" spans="1:38"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f>IF(HR_Data[[#This Row],[Attrition]]="Yes",1,0)</f>
        <v>1</v>
      </c>
      <c r="AK238" t="str">
        <f>_xlfn.IFS(AND(HR_Data[[#This Row],[Age]]&gt;=18,HR_Data[[#This Row],[Age]]&lt;=25),"18-25",AND(HR_Data[[#This Row],[Age]]&gt;=26,HR_Data[[#This Row],[Age]]&lt;=35),"26-35",AND(HR_Data[[#This Row],[Age]]&gt;=36,HR_Data[[#This Row],[Age]]&lt;=45),"36-45",HR_Data[[#This Row],[Age]]&gt;45,"45+")</f>
        <v>26-35</v>
      </c>
      <c r="AL2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39" spans="1:38"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f>IF(HR_Data[[#This Row],[Attrition]]="Yes",1,0)</f>
        <v>0</v>
      </c>
      <c r="AK239" t="str">
        <f>_xlfn.IFS(AND(HR_Data[[#This Row],[Age]]&gt;=18,HR_Data[[#This Row],[Age]]&lt;=25),"18-25",AND(HR_Data[[#This Row],[Age]]&gt;=26,HR_Data[[#This Row],[Age]]&lt;=35),"26-35",AND(HR_Data[[#This Row],[Age]]&gt;=36,HR_Data[[#This Row],[Age]]&lt;=45),"36-45",HR_Data[[#This Row],[Age]]&gt;45,"45+")</f>
        <v>45+</v>
      </c>
      <c r="AL2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40" spans="1:38"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f>IF(HR_Data[[#This Row],[Attrition]]="Yes",1,0)</f>
        <v>0</v>
      </c>
      <c r="AK240" t="str">
        <f>_xlfn.IFS(AND(HR_Data[[#This Row],[Age]]&gt;=18,HR_Data[[#This Row],[Age]]&lt;=25),"18-25",AND(HR_Data[[#This Row],[Age]]&gt;=26,HR_Data[[#This Row],[Age]]&lt;=35),"26-35",AND(HR_Data[[#This Row],[Age]]&gt;=36,HR_Data[[#This Row],[Age]]&lt;=45),"36-45",HR_Data[[#This Row],[Age]]&gt;45,"45+")</f>
        <v>26-35</v>
      </c>
      <c r="AL2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41" spans="1:38"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f>IF(HR_Data[[#This Row],[Attrition]]="Yes",1,0)</f>
        <v>1</v>
      </c>
      <c r="AK241" t="str">
        <f>_xlfn.IFS(AND(HR_Data[[#This Row],[Age]]&gt;=18,HR_Data[[#This Row],[Age]]&lt;=25),"18-25",AND(HR_Data[[#This Row],[Age]]&gt;=26,HR_Data[[#This Row],[Age]]&lt;=35),"26-35",AND(HR_Data[[#This Row],[Age]]&gt;=36,HR_Data[[#This Row],[Age]]&lt;=45),"36-45",HR_Data[[#This Row],[Age]]&gt;45,"45+")</f>
        <v>26-35</v>
      </c>
      <c r="AL2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42" spans="1:38"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f>IF(HR_Data[[#This Row],[Attrition]]="Yes",1,0)</f>
        <v>0</v>
      </c>
      <c r="AK242" t="str">
        <f>_xlfn.IFS(AND(HR_Data[[#This Row],[Age]]&gt;=18,HR_Data[[#This Row],[Age]]&lt;=25),"18-25",AND(HR_Data[[#This Row],[Age]]&gt;=26,HR_Data[[#This Row],[Age]]&lt;=35),"26-35",AND(HR_Data[[#This Row],[Age]]&gt;=36,HR_Data[[#This Row],[Age]]&lt;=45),"36-45",HR_Data[[#This Row],[Age]]&gt;45,"45+")</f>
        <v>36-45</v>
      </c>
      <c r="AL2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43" spans="1:38"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f>IF(HR_Data[[#This Row],[Attrition]]="Yes",1,0)</f>
        <v>0</v>
      </c>
      <c r="AK243" t="str">
        <f>_xlfn.IFS(AND(HR_Data[[#This Row],[Age]]&gt;=18,HR_Data[[#This Row],[Age]]&lt;=25),"18-25",AND(HR_Data[[#This Row],[Age]]&gt;=26,HR_Data[[#This Row],[Age]]&lt;=35),"26-35",AND(HR_Data[[#This Row],[Age]]&gt;=36,HR_Data[[#This Row],[Age]]&lt;=45),"36-45",HR_Data[[#This Row],[Age]]&gt;45,"45+")</f>
        <v>26-35</v>
      </c>
      <c r="AL2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44" spans="1:38"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f>IF(HR_Data[[#This Row],[Attrition]]="Yes",1,0)</f>
        <v>0</v>
      </c>
      <c r="AK244" t="str">
        <f>_xlfn.IFS(AND(HR_Data[[#This Row],[Age]]&gt;=18,HR_Data[[#This Row],[Age]]&lt;=25),"18-25",AND(HR_Data[[#This Row],[Age]]&gt;=26,HR_Data[[#This Row],[Age]]&lt;=35),"26-35",AND(HR_Data[[#This Row],[Age]]&gt;=36,HR_Data[[#This Row],[Age]]&lt;=45),"36-45",HR_Data[[#This Row],[Age]]&gt;45,"45+")</f>
        <v>36-45</v>
      </c>
      <c r="AL2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45" spans="1:38"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f>IF(HR_Data[[#This Row],[Attrition]]="Yes",1,0)</f>
        <v>0</v>
      </c>
      <c r="AK245" t="str">
        <f>_xlfn.IFS(AND(HR_Data[[#This Row],[Age]]&gt;=18,HR_Data[[#This Row],[Age]]&lt;=25),"18-25",AND(HR_Data[[#This Row],[Age]]&gt;=26,HR_Data[[#This Row],[Age]]&lt;=35),"26-35",AND(HR_Data[[#This Row],[Age]]&gt;=36,HR_Data[[#This Row],[Age]]&lt;=45),"36-45",HR_Data[[#This Row],[Age]]&gt;45,"45+")</f>
        <v>36-45</v>
      </c>
      <c r="AL2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46" spans="1:38"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f>IF(HR_Data[[#This Row],[Attrition]]="Yes",1,0)</f>
        <v>0</v>
      </c>
      <c r="AK246" t="str">
        <f>_xlfn.IFS(AND(HR_Data[[#This Row],[Age]]&gt;=18,HR_Data[[#This Row],[Age]]&lt;=25),"18-25",AND(HR_Data[[#This Row],[Age]]&gt;=26,HR_Data[[#This Row],[Age]]&lt;=35),"26-35",AND(HR_Data[[#This Row],[Age]]&gt;=36,HR_Data[[#This Row],[Age]]&lt;=45),"36-45",HR_Data[[#This Row],[Age]]&gt;45,"45+")</f>
        <v>36-45</v>
      </c>
      <c r="AL2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47" spans="1:38"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f>IF(HR_Data[[#This Row],[Attrition]]="Yes",1,0)</f>
        <v>0</v>
      </c>
      <c r="AK247" t="str">
        <f>_xlfn.IFS(AND(HR_Data[[#This Row],[Age]]&gt;=18,HR_Data[[#This Row],[Age]]&lt;=25),"18-25",AND(HR_Data[[#This Row],[Age]]&gt;=26,HR_Data[[#This Row],[Age]]&lt;=35),"26-35",AND(HR_Data[[#This Row],[Age]]&gt;=36,HR_Data[[#This Row],[Age]]&lt;=45),"36-45",HR_Data[[#This Row],[Age]]&gt;45,"45+")</f>
        <v>26-35</v>
      </c>
      <c r="AL2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48" spans="1:38"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f>IF(HR_Data[[#This Row],[Attrition]]="Yes",1,0)</f>
        <v>0</v>
      </c>
      <c r="AK248" t="str">
        <f>_xlfn.IFS(AND(HR_Data[[#This Row],[Age]]&gt;=18,HR_Data[[#This Row],[Age]]&lt;=25),"18-25",AND(HR_Data[[#This Row],[Age]]&gt;=26,HR_Data[[#This Row],[Age]]&lt;=35),"26-35",AND(HR_Data[[#This Row],[Age]]&gt;=36,HR_Data[[#This Row],[Age]]&lt;=45),"36-45",HR_Data[[#This Row],[Age]]&gt;45,"45+")</f>
        <v>26-35</v>
      </c>
      <c r="AL2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49" spans="1:38"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f>IF(HR_Data[[#This Row],[Attrition]]="Yes",1,0)</f>
        <v>0</v>
      </c>
      <c r="AK249" t="str">
        <f>_xlfn.IFS(AND(HR_Data[[#This Row],[Age]]&gt;=18,HR_Data[[#This Row],[Age]]&lt;=25),"18-25",AND(HR_Data[[#This Row],[Age]]&gt;=26,HR_Data[[#This Row],[Age]]&lt;=35),"26-35",AND(HR_Data[[#This Row],[Age]]&gt;=36,HR_Data[[#This Row],[Age]]&lt;=45),"36-45",HR_Data[[#This Row],[Age]]&gt;45,"45+")</f>
        <v>26-35</v>
      </c>
      <c r="AL2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50" spans="1:38"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f>IF(HR_Data[[#This Row],[Attrition]]="Yes",1,0)</f>
        <v>0</v>
      </c>
      <c r="AK250" t="str">
        <f>_xlfn.IFS(AND(HR_Data[[#This Row],[Age]]&gt;=18,HR_Data[[#This Row],[Age]]&lt;=25),"18-25",AND(HR_Data[[#This Row],[Age]]&gt;=26,HR_Data[[#This Row],[Age]]&lt;=35),"26-35",AND(HR_Data[[#This Row],[Age]]&gt;=36,HR_Data[[#This Row],[Age]]&lt;=45),"36-45",HR_Data[[#This Row],[Age]]&gt;45,"45+")</f>
        <v>36-45</v>
      </c>
      <c r="AL2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51" spans="1:38"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f>IF(HR_Data[[#This Row],[Attrition]]="Yes",1,0)</f>
        <v>0</v>
      </c>
      <c r="AK251" t="str">
        <f>_xlfn.IFS(AND(HR_Data[[#This Row],[Age]]&gt;=18,HR_Data[[#This Row],[Age]]&lt;=25),"18-25",AND(HR_Data[[#This Row],[Age]]&gt;=26,HR_Data[[#This Row],[Age]]&lt;=35),"26-35",AND(HR_Data[[#This Row],[Age]]&gt;=36,HR_Data[[#This Row],[Age]]&lt;=45),"36-45",HR_Data[[#This Row],[Age]]&gt;45,"45+")</f>
        <v>36-45</v>
      </c>
      <c r="AL2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52" spans="1:38"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f>IF(HR_Data[[#This Row],[Attrition]]="Yes",1,0)</f>
        <v>1</v>
      </c>
      <c r="AK252" t="str">
        <f>_xlfn.IFS(AND(HR_Data[[#This Row],[Age]]&gt;=18,HR_Data[[#This Row],[Age]]&lt;=25),"18-25",AND(HR_Data[[#This Row],[Age]]&gt;=26,HR_Data[[#This Row],[Age]]&lt;=35),"26-35",AND(HR_Data[[#This Row],[Age]]&gt;=36,HR_Data[[#This Row],[Age]]&lt;=45),"36-45",HR_Data[[#This Row],[Age]]&gt;45,"45+")</f>
        <v>36-45</v>
      </c>
      <c r="AL2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53" spans="1:38"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f>IF(HR_Data[[#This Row],[Attrition]]="Yes",1,0)</f>
        <v>0</v>
      </c>
      <c r="AK253" t="str">
        <f>_xlfn.IFS(AND(HR_Data[[#This Row],[Age]]&gt;=18,HR_Data[[#This Row],[Age]]&lt;=25),"18-25",AND(HR_Data[[#This Row],[Age]]&gt;=26,HR_Data[[#This Row],[Age]]&lt;=35),"26-35",AND(HR_Data[[#This Row],[Age]]&gt;=36,HR_Data[[#This Row],[Age]]&lt;=45),"36-45",HR_Data[[#This Row],[Age]]&gt;45,"45+")</f>
        <v>36-45</v>
      </c>
      <c r="AL2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54" spans="1:38"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f>IF(HR_Data[[#This Row],[Attrition]]="Yes",1,0)</f>
        <v>0</v>
      </c>
      <c r="AK254" t="str">
        <f>_xlfn.IFS(AND(HR_Data[[#This Row],[Age]]&gt;=18,HR_Data[[#This Row],[Age]]&lt;=25),"18-25",AND(HR_Data[[#This Row],[Age]]&gt;=26,HR_Data[[#This Row],[Age]]&lt;=35),"26-35",AND(HR_Data[[#This Row],[Age]]&gt;=36,HR_Data[[#This Row],[Age]]&lt;=45),"36-45",HR_Data[[#This Row],[Age]]&gt;45,"45+")</f>
        <v>26-35</v>
      </c>
      <c r="AL2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55" spans="1:38"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f>IF(HR_Data[[#This Row],[Attrition]]="Yes",1,0)</f>
        <v>0</v>
      </c>
      <c r="AK255" t="str">
        <f>_xlfn.IFS(AND(HR_Data[[#This Row],[Age]]&gt;=18,HR_Data[[#This Row],[Age]]&lt;=25),"18-25",AND(HR_Data[[#This Row],[Age]]&gt;=26,HR_Data[[#This Row],[Age]]&lt;=35),"26-35",AND(HR_Data[[#This Row],[Age]]&gt;=36,HR_Data[[#This Row],[Age]]&lt;=45),"36-45",HR_Data[[#This Row],[Age]]&gt;45,"45+")</f>
        <v>36-45</v>
      </c>
      <c r="AL2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56" spans="1:38"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f>IF(HR_Data[[#This Row],[Attrition]]="Yes",1,0)</f>
        <v>0</v>
      </c>
      <c r="AK256" t="str">
        <f>_xlfn.IFS(AND(HR_Data[[#This Row],[Age]]&gt;=18,HR_Data[[#This Row],[Age]]&lt;=25),"18-25",AND(HR_Data[[#This Row],[Age]]&gt;=26,HR_Data[[#This Row],[Age]]&lt;=35),"26-35",AND(HR_Data[[#This Row],[Age]]&gt;=36,HR_Data[[#This Row],[Age]]&lt;=45),"36-45",HR_Data[[#This Row],[Age]]&gt;45,"45+")</f>
        <v>26-35</v>
      </c>
      <c r="AL2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57" spans="1:38"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f>IF(HR_Data[[#This Row],[Attrition]]="Yes",1,0)</f>
        <v>0</v>
      </c>
      <c r="AK257" t="str">
        <f>_xlfn.IFS(AND(HR_Data[[#This Row],[Age]]&gt;=18,HR_Data[[#This Row],[Age]]&lt;=25),"18-25",AND(HR_Data[[#This Row],[Age]]&gt;=26,HR_Data[[#This Row],[Age]]&lt;=35),"26-35",AND(HR_Data[[#This Row],[Age]]&gt;=36,HR_Data[[#This Row],[Age]]&lt;=45),"36-45",HR_Data[[#This Row],[Age]]&gt;45,"45+")</f>
        <v>18-25</v>
      </c>
      <c r="AL2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58" spans="1:38"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f>IF(HR_Data[[#This Row],[Attrition]]="Yes",1,0)</f>
        <v>0</v>
      </c>
      <c r="AK258" t="str">
        <f>_xlfn.IFS(AND(HR_Data[[#This Row],[Age]]&gt;=18,HR_Data[[#This Row],[Age]]&lt;=25),"18-25",AND(HR_Data[[#This Row],[Age]]&gt;=26,HR_Data[[#This Row],[Age]]&lt;=35),"26-35",AND(HR_Data[[#This Row],[Age]]&gt;=36,HR_Data[[#This Row],[Age]]&lt;=45),"36-45",HR_Data[[#This Row],[Age]]&gt;45,"45+")</f>
        <v>36-45</v>
      </c>
      <c r="AL2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59" spans="1:38"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f>IF(HR_Data[[#This Row],[Attrition]]="Yes",1,0)</f>
        <v>0</v>
      </c>
      <c r="AK259" t="str">
        <f>_xlfn.IFS(AND(HR_Data[[#This Row],[Age]]&gt;=18,HR_Data[[#This Row],[Age]]&lt;=25),"18-25",AND(HR_Data[[#This Row],[Age]]&gt;=26,HR_Data[[#This Row],[Age]]&lt;=35),"26-35",AND(HR_Data[[#This Row],[Age]]&gt;=36,HR_Data[[#This Row],[Age]]&lt;=45),"36-45",HR_Data[[#This Row],[Age]]&gt;45,"45+")</f>
        <v>36-45</v>
      </c>
      <c r="AL2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60" spans="1:38"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f>IF(HR_Data[[#This Row],[Attrition]]="Yes",1,0)</f>
        <v>0</v>
      </c>
      <c r="AK260" t="str">
        <f>_xlfn.IFS(AND(HR_Data[[#This Row],[Age]]&gt;=18,HR_Data[[#This Row],[Age]]&lt;=25),"18-25",AND(HR_Data[[#This Row],[Age]]&gt;=26,HR_Data[[#This Row],[Age]]&lt;=35),"26-35",AND(HR_Data[[#This Row],[Age]]&gt;=36,HR_Data[[#This Row],[Age]]&lt;=45),"36-45",HR_Data[[#This Row],[Age]]&gt;45,"45+")</f>
        <v>45+</v>
      </c>
      <c r="AL2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61" spans="1:38"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f>IF(HR_Data[[#This Row],[Attrition]]="Yes",1,0)</f>
        <v>1</v>
      </c>
      <c r="AK261" t="str">
        <f>_xlfn.IFS(AND(HR_Data[[#This Row],[Age]]&gt;=18,HR_Data[[#This Row],[Age]]&lt;=25),"18-25",AND(HR_Data[[#This Row],[Age]]&gt;=26,HR_Data[[#This Row],[Age]]&lt;=35),"26-35",AND(HR_Data[[#This Row],[Age]]&gt;=36,HR_Data[[#This Row],[Age]]&lt;=45),"36-45",HR_Data[[#This Row],[Age]]&gt;45,"45+")</f>
        <v>26-35</v>
      </c>
      <c r="AL2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62" spans="1:38"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f>IF(HR_Data[[#This Row],[Attrition]]="Yes",1,0)</f>
        <v>0</v>
      </c>
      <c r="AK262" t="str">
        <f>_xlfn.IFS(AND(HR_Data[[#This Row],[Age]]&gt;=18,HR_Data[[#This Row],[Age]]&lt;=25),"18-25",AND(HR_Data[[#This Row],[Age]]&gt;=26,HR_Data[[#This Row],[Age]]&lt;=35),"26-35",AND(HR_Data[[#This Row],[Age]]&gt;=36,HR_Data[[#This Row],[Age]]&lt;=45),"36-45",HR_Data[[#This Row],[Age]]&gt;45,"45+")</f>
        <v>26-35</v>
      </c>
      <c r="AL2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63" spans="1:38"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f>IF(HR_Data[[#This Row],[Attrition]]="Yes",1,0)</f>
        <v>0</v>
      </c>
      <c r="AK263" t="str">
        <f>_xlfn.IFS(AND(HR_Data[[#This Row],[Age]]&gt;=18,HR_Data[[#This Row],[Age]]&lt;=25),"18-25",AND(HR_Data[[#This Row],[Age]]&gt;=26,HR_Data[[#This Row],[Age]]&lt;=35),"26-35",AND(HR_Data[[#This Row],[Age]]&gt;=36,HR_Data[[#This Row],[Age]]&lt;=45),"36-45",HR_Data[[#This Row],[Age]]&gt;45,"45+")</f>
        <v>36-45</v>
      </c>
      <c r="AL2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64" spans="1:38"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f>IF(HR_Data[[#This Row],[Attrition]]="Yes",1,0)</f>
        <v>0</v>
      </c>
      <c r="AK264" t="str">
        <f>_xlfn.IFS(AND(HR_Data[[#This Row],[Age]]&gt;=18,HR_Data[[#This Row],[Age]]&lt;=25),"18-25",AND(HR_Data[[#This Row],[Age]]&gt;=26,HR_Data[[#This Row],[Age]]&lt;=35),"26-35",AND(HR_Data[[#This Row],[Age]]&gt;=36,HR_Data[[#This Row],[Age]]&lt;=45),"36-45",HR_Data[[#This Row],[Age]]&gt;45,"45+")</f>
        <v>26-35</v>
      </c>
      <c r="AL2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65" spans="1:38"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f>IF(HR_Data[[#This Row],[Attrition]]="Yes",1,0)</f>
        <v>0</v>
      </c>
      <c r="AK265" t="str">
        <f>_xlfn.IFS(AND(HR_Data[[#This Row],[Age]]&gt;=18,HR_Data[[#This Row],[Age]]&lt;=25),"18-25",AND(HR_Data[[#This Row],[Age]]&gt;=26,HR_Data[[#This Row],[Age]]&lt;=35),"26-35",AND(HR_Data[[#This Row],[Age]]&gt;=36,HR_Data[[#This Row],[Age]]&lt;=45),"36-45",HR_Data[[#This Row],[Age]]&gt;45,"45+")</f>
        <v>45+</v>
      </c>
      <c r="AL2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66" spans="1:38"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f>IF(HR_Data[[#This Row],[Attrition]]="Yes",1,0)</f>
        <v>1</v>
      </c>
      <c r="AK266" t="str">
        <f>_xlfn.IFS(AND(HR_Data[[#This Row],[Age]]&gt;=18,HR_Data[[#This Row],[Age]]&lt;=25),"18-25",AND(HR_Data[[#This Row],[Age]]&gt;=26,HR_Data[[#This Row],[Age]]&lt;=35),"26-35",AND(HR_Data[[#This Row],[Age]]&gt;=36,HR_Data[[#This Row],[Age]]&lt;=45),"36-45",HR_Data[[#This Row],[Age]]&gt;45,"45+")</f>
        <v>26-35</v>
      </c>
      <c r="AL2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67" spans="1:38"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f>IF(HR_Data[[#This Row],[Attrition]]="Yes",1,0)</f>
        <v>0</v>
      </c>
      <c r="AK267" t="str">
        <f>_xlfn.IFS(AND(HR_Data[[#This Row],[Age]]&gt;=18,HR_Data[[#This Row],[Age]]&lt;=25),"18-25",AND(HR_Data[[#This Row],[Age]]&gt;=26,HR_Data[[#This Row],[Age]]&lt;=35),"26-35",AND(HR_Data[[#This Row],[Age]]&gt;=36,HR_Data[[#This Row],[Age]]&lt;=45),"36-45",HR_Data[[#This Row],[Age]]&gt;45,"45+")</f>
        <v>26-35</v>
      </c>
      <c r="AL2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68" spans="1:38"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f>IF(HR_Data[[#This Row],[Attrition]]="Yes",1,0)</f>
        <v>0</v>
      </c>
      <c r="AK268" t="str">
        <f>_xlfn.IFS(AND(HR_Data[[#This Row],[Age]]&gt;=18,HR_Data[[#This Row],[Age]]&lt;=25),"18-25",AND(HR_Data[[#This Row],[Age]]&gt;=26,HR_Data[[#This Row],[Age]]&lt;=35),"26-35",AND(HR_Data[[#This Row],[Age]]&gt;=36,HR_Data[[#This Row],[Age]]&lt;=45),"36-45",HR_Data[[#This Row],[Age]]&gt;45,"45+")</f>
        <v>26-35</v>
      </c>
      <c r="AL2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69" spans="1:38"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f>IF(HR_Data[[#This Row],[Attrition]]="Yes",1,0)</f>
        <v>0</v>
      </c>
      <c r="AK269" t="str">
        <f>_xlfn.IFS(AND(HR_Data[[#This Row],[Age]]&gt;=18,HR_Data[[#This Row],[Age]]&lt;=25),"18-25",AND(HR_Data[[#This Row],[Age]]&gt;=26,HR_Data[[#This Row],[Age]]&lt;=35),"26-35",AND(HR_Data[[#This Row],[Age]]&gt;=36,HR_Data[[#This Row],[Age]]&lt;=45),"36-45",HR_Data[[#This Row],[Age]]&gt;45,"45+")</f>
        <v>18-25</v>
      </c>
      <c r="AL2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70" spans="1:38"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f>IF(HR_Data[[#This Row],[Attrition]]="Yes",1,0)</f>
        <v>0</v>
      </c>
      <c r="AK270" t="str">
        <f>_xlfn.IFS(AND(HR_Data[[#This Row],[Age]]&gt;=18,HR_Data[[#This Row],[Age]]&lt;=25),"18-25",AND(HR_Data[[#This Row],[Age]]&gt;=26,HR_Data[[#This Row],[Age]]&lt;=35),"26-35",AND(HR_Data[[#This Row],[Age]]&gt;=36,HR_Data[[#This Row],[Age]]&lt;=45),"36-45",HR_Data[[#This Row],[Age]]&gt;45,"45+")</f>
        <v>36-45</v>
      </c>
      <c r="AL2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71" spans="1:38"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f>IF(HR_Data[[#This Row],[Attrition]]="Yes",1,0)</f>
        <v>0</v>
      </c>
      <c r="AK271" t="str">
        <f>_xlfn.IFS(AND(HR_Data[[#This Row],[Age]]&gt;=18,HR_Data[[#This Row],[Age]]&lt;=25),"18-25",AND(HR_Data[[#This Row],[Age]]&gt;=26,HR_Data[[#This Row],[Age]]&lt;=35),"26-35",AND(HR_Data[[#This Row],[Age]]&gt;=36,HR_Data[[#This Row],[Age]]&lt;=45),"36-45",HR_Data[[#This Row],[Age]]&gt;45,"45+")</f>
        <v>36-45</v>
      </c>
      <c r="AL2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72" spans="1:38"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f>IF(HR_Data[[#This Row],[Attrition]]="Yes",1,0)</f>
        <v>0</v>
      </c>
      <c r="AK272" t="str">
        <f>_xlfn.IFS(AND(HR_Data[[#This Row],[Age]]&gt;=18,HR_Data[[#This Row],[Age]]&lt;=25),"18-25",AND(HR_Data[[#This Row],[Age]]&gt;=26,HR_Data[[#This Row],[Age]]&lt;=35),"26-35",AND(HR_Data[[#This Row],[Age]]&gt;=36,HR_Data[[#This Row],[Age]]&lt;=45),"36-45",HR_Data[[#This Row],[Age]]&gt;45,"45+")</f>
        <v>45+</v>
      </c>
      <c r="AL2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73" spans="1:38"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f>IF(HR_Data[[#This Row],[Attrition]]="Yes",1,0)</f>
        <v>1</v>
      </c>
      <c r="AK273" t="str">
        <f>_xlfn.IFS(AND(HR_Data[[#This Row],[Age]]&gt;=18,HR_Data[[#This Row],[Age]]&lt;=25),"18-25",AND(HR_Data[[#This Row],[Age]]&gt;=26,HR_Data[[#This Row],[Age]]&lt;=35),"26-35",AND(HR_Data[[#This Row],[Age]]&gt;=36,HR_Data[[#This Row],[Age]]&lt;=45),"36-45",HR_Data[[#This Row],[Age]]&gt;45,"45+")</f>
        <v>45+</v>
      </c>
      <c r="AL2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74" spans="1:38"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f>IF(HR_Data[[#This Row],[Attrition]]="Yes",1,0)</f>
        <v>0</v>
      </c>
      <c r="AK274" t="str">
        <f>_xlfn.IFS(AND(HR_Data[[#This Row],[Age]]&gt;=18,HR_Data[[#This Row],[Age]]&lt;=25),"18-25",AND(HR_Data[[#This Row],[Age]]&gt;=26,HR_Data[[#This Row],[Age]]&lt;=35),"26-35",AND(HR_Data[[#This Row],[Age]]&gt;=36,HR_Data[[#This Row],[Age]]&lt;=45),"36-45",HR_Data[[#This Row],[Age]]&gt;45,"45+")</f>
        <v>26-35</v>
      </c>
      <c r="AL2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75" spans="1:38"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f>IF(HR_Data[[#This Row],[Attrition]]="Yes",1,0)</f>
        <v>0</v>
      </c>
      <c r="AK275" t="str">
        <f>_xlfn.IFS(AND(HR_Data[[#This Row],[Age]]&gt;=18,HR_Data[[#This Row],[Age]]&lt;=25),"18-25",AND(HR_Data[[#This Row],[Age]]&gt;=26,HR_Data[[#This Row],[Age]]&lt;=35),"26-35",AND(HR_Data[[#This Row],[Age]]&gt;=36,HR_Data[[#This Row],[Age]]&lt;=45),"36-45",HR_Data[[#This Row],[Age]]&gt;45,"45+")</f>
        <v>36-45</v>
      </c>
      <c r="AL2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76" spans="1:38"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f>IF(HR_Data[[#This Row],[Attrition]]="Yes",1,0)</f>
        <v>0</v>
      </c>
      <c r="AK276" t="str">
        <f>_xlfn.IFS(AND(HR_Data[[#This Row],[Age]]&gt;=18,HR_Data[[#This Row],[Age]]&lt;=25),"18-25",AND(HR_Data[[#This Row],[Age]]&gt;=26,HR_Data[[#This Row],[Age]]&lt;=35),"26-35",AND(HR_Data[[#This Row],[Age]]&gt;=36,HR_Data[[#This Row],[Age]]&lt;=45),"36-45",HR_Data[[#This Row],[Age]]&gt;45,"45+")</f>
        <v>18-25</v>
      </c>
      <c r="AL2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77" spans="1:38"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f>IF(HR_Data[[#This Row],[Attrition]]="Yes",1,0)</f>
        <v>0</v>
      </c>
      <c r="AK277" t="str">
        <f>_xlfn.IFS(AND(HR_Data[[#This Row],[Age]]&gt;=18,HR_Data[[#This Row],[Age]]&lt;=25),"18-25",AND(HR_Data[[#This Row],[Age]]&gt;=26,HR_Data[[#This Row],[Age]]&lt;=35),"26-35",AND(HR_Data[[#This Row],[Age]]&gt;=36,HR_Data[[#This Row],[Age]]&lt;=45),"36-45",HR_Data[[#This Row],[Age]]&gt;45,"45+")</f>
        <v>36-45</v>
      </c>
      <c r="AL2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78" spans="1:38"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f>IF(HR_Data[[#This Row],[Attrition]]="Yes",1,0)</f>
        <v>0</v>
      </c>
      <c r="AK278" t="str">
        <f>_xlfn.IFS(AND(HR_Data[[#This Row],[Age]]&gt;=18,HR_Data[[#This Row],[Age]]&lt;=25),"18-25",AND(HR_Data[[#This Row],[Age]]&gt;=26,HR_Data[[#This Row],[Age]]&lt;=35),"26-35",AND(HR_Data[[#This Row],[Age]]&gt;=36,HR_Data[[#This Row],[Age]]&lt;=45),"36-45",HR_Data[[#This Row],[Age]]&gt;45,"45+")</f>
        <v>26-35</v>
      </c>
      <c r="AL2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79" spans="1:38"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f>IF(HR_Data[[#This Row],[Attrition]]="Yes",1,0)</f>
        <v>0</v>
      </c>
      <c r="AK279" t="str">
        <f>_xlfn.IFS(AND(HR_Data[[#This Row],[Age]]&gt;=18,HR_Data[[#This Row],[Age]]&lt;=25),"18-25",AND(HR_Data[[#This Row],[Age]]&gt;=26,HR_Data[[#This Row],[Age]]&lt;=35),"26-35",AND(HR_Data[[#This Row],[Age]]&gt;=36,HR_Data[[#This Row],[Age]]&lt;=45),"36-45",HR_Data[[#This Row],[Age]]&gt;45,"45+")</f>
        <v>36-45</v>
      </c>
      <c r="AL2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80" spans="1:38"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f>IF(HR_Data[[#This Row],[Attrition]]="Yes",1,0)</f>
        <v>0</v>
      </c>
      <c r="AK280" t="str">
        <f>_xlfn.IFS(AND(HR_Data[[#This Row],[Age]]&gt;=18,HR_Data[[#This Row],[Age]]&lt;=25),"18-25",AND(HR_Data[[#This Row],[Age]]&gt;=26,HR_Data[[#This Row],[Age]]&lt;=35),"26-35",AND(HR_Data[[#This Row],[Age]]&gt;=36,HR_Data[[#This Row],[Age]]&lt;=45),"36-45",HR_Data[[#This Row],[Age]]&gt;45,"45+")</f>
        <v>26-35</v>
      </c>
      <c r="AL2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81" spans="1:38"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f>IF(HR_Data[[#This Row],[Attrition]]="Yes",1,0)</f>
        <v>0</v>
      </c>
      <c r="AK281" t="str">
        <f>_xlfn.IFS(AND(HR_Data[[#This Row],[Age]]&gt;=18,HR_Data[[#This Row],[Age]]&lt;=25),"18-25",AND(HR_Data[[#This Row],[Age]]&gt;=26,HR_Data[[#This Row],[Age]]&lt;=35),"26-35",AND(HR_Data[[#This Row],[Age]]&gt;=36,HR_Data[[#This Row],[Age]]&lt;=45),"36-45",HR_Data[[#This Row],[Age]]&gt;45,"45+")</f>
        <v>45+</v>
      </c>
      <c r="AL2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82" spans="1:38"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f>IF(HR_Data[[#This Row],[Attrition]]="Yes",1,0)</f>
        <v>0</v>
      </c>
      <c r="AK282" t="str">
        <f>_xlfn.IFS(AND(HR_Data[[#This Row],[Age]]&gt;=18,HR_Data[[#This Row],[Age]]&lt;=25),"18-25",AND(HR_Data[[#This Row],[Age]]&gt;=26,HR_Data[[#This Row],[Age]]&lt;=35),"26-35",AND(HR_Data[[#This Row],[Age]]&gt;=36,HR_Data[[#This Row],[Age]]&lt;=45),"36-45",HR_Data[[#This Row],[Age]]&gt;45,"45+")</f>
        <v>45+</v>
      </c>
      <c r="AL2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83" spans="1:38"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f>IF(HR_Data[[#This Row],[Attrition]]="Yes",1,0)</f>
        <v>0</v>
      </c>
      <c r="AK283" t="str">
        <f>_xlfn.IFS(AND(HR_Data[[#This Row],[Age]]&gt;=18,HR_Data[[#This Row],[Age]]&lt;=25),"18-25",AND(HR_Data[[#This Row],[Age]]&gt;=26,HR_Data[[#This Row],[Age]]&lt;=35),"26-35",AND(HR_Data[[#This Row],[Age]]&gt;=36,HR_Data[[#This Row],[Age]]&lt;=45),"36-45",HR_Data[[#This Row],[Age]]&gt;45,"45+")</f>
        <v>36-45</v>
      </c>
      <c r="AL2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84" spans="1:38"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f>IF(HR_Data[[#This Row],[Attrition]]="Yes",1,0)</f>
        <v>0</v>
      </c>
      <c r="AK284" t="str">
        <f>_xlfn.IFS(AND(HR_Data[[#This Row],[Age]]&gt;=18,HR_Data[[#This Row],[Age]]&lt;=25),"18-25",AND(HR_Data[[#This Row],[Age]]&gt;=26,HR_Data[[#This Row],[Age]]&lt;=35),"26-35",AND(HR_Data[[#This Row],[Age]]&gt;=36,HR_Data[[#This Row],[Age]]&lt;=45),"36-45",HR_Data[[#This Row],[Age]]&gt;45,"45+")</f>
        <v>26-35</v>
      </c>
      <c r="AL2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85" spans="1:38"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f>IF(HR_Data[[#This Row],[Attrition]]="Yes",1,0)</f>
        <v>0</v>
      </c>
      <c r="AK285" t="str">
        <f>_xlfn.IFS(AND(HR_Data[[#This Row],[Age]]&gt;=18,HR_Data[[#This Row],[Age]]&lt;=25),"18-25",AND(HR_Data[[#This Row],[Age]]&gt;=26,HR_Data[[#This Row],[Age]]&lt;=35),"26-35",AND(HR_Data[[#This Row],[Age]]&gt;=36,HR_Data[[#This Row],[Age]]&lt;=45),"36-45",HR_Data[[#This Row],[Age]]&gt;45,"45+")</f>
        <v>45+</v>
      </c>
      <c r="AL2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86" spans="1:38"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f>IF(HR_Data[[#This Row],[Attrition]]="Yes",1,0)</f>
        <v>0</v>
      </c>
      <c r="AK286" t="str">
        <f>_xlfn.IFS(AND(HR_Data[[#This Row],[Age]]&gt;=18,HR_Data[[#This Row],[Age]]&lt;=25),"18-25",AND(HR_Data[[#This Row],[Age]]&gt;=26,HR_Data[[#This Row],[Age]]&lt;=35),"26-35",AND(HR_Data[[#This Row],[Age]]&gt;=36,HR_Data[[#This Row],[Age]]&lt;=45),"36-45",HR_Data[[#This Row],[Age]]&gt;45,"45+")</f>
        <v>26-35</v>
      </c>
      <c r="AL2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87" spans="1:38"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f>IF(HR_Data[[#This Row],[Attrition]]="Yes",1,0)</f>
        <v>0</v>
      </c>
      <c r="AK287" t="str">
        <f>_xlfn.IFS(AND(HR_Data[[#This Row],[Age]]&gt;=18,HR_Data[[#This Row],[Age]]&lt;=25),"18-25",AND(HR_Data[[#This Row],[Age]]&gt;=26,HR_Data[[#This Row],[Age]]&lt;=35),"26-35",AND(HR_Data[[#This Row],[Age]]&gt;=36,HR_Data[[#This Row],[Age]]&lt;=45),"36-45",HR_Data[[#This Row],[Age]]&gt;45,"45+")</f>
        <v>36-45</v>
      </c>
      <c r="AL2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88" spans="1:38"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f>IF(HR_Data[[#This Row],[Attrition]]="Yes",1,0)</f>
        <v>1</v>
      </c>
      <c r="AK288" t="str">
        <f>_xlfn.IFS(AND(HR_Data[[#This Row],[Age]]&gt;=18,HR_Data[[#This Row],[Age]]&lt;=25),"18-25",AND(HR_Data[[#This Row],[Age]]&gt;=26,HR_Data[[#This Row],[Age]]&lt;=35),"26-35",AND(HR_Data[[#This Row],[Age]]&gt;=36,HR_Data[[#This Row],[Age]]&lt;=45),"36-45",HR_Data[[#This Row],[Age]]&gt;45,"45+")</f>
        <v>36-45</v>
      </c>
      <c r="AL2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89" spans="1:38"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f>IF(HR_Data[[#This Row],[Attrition]]="Yes",1,0)</f>
        <v>0</v>
      </c>
      <c r="AK289" t="str">
        <f>_xlfn.IFS(AND(HR_Data[[#This Row],[Age]]&gt;=18,HR_Data[[#This Row],[Age]]&lt;=25),"18-25",AND(HR_Data[[#This Row],[Age]]&gt;=26,HR_Data[[#This Row],[Age]]&lt;=35),"26-35",AND(HR_Data[[#This Row],[Age]]&gt;=36,HR_Data[[#This Row],[Age]]&lt;=45),"36-45",HR_Data[[#This Row],[Age]]&gt;45,"45+")</f>
        <v>36-45</v>
      </c>
      <c r="AL2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90" spans="1:38"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f>IF(HR_Data[[#This Row],[Attrition]]="Yes",1,0)</f>
        <v>1</v>
      </c>
      <c r="AK290" t="str">
        <f>_xlfn.IFS(AND(HR_Data[[#This Row],[Age]]&gt;=18,HR_Data[[#This Row],[Age]]&lt;=25),"18-25",AND(HR_Data[[#This Row],[Age]]&gt;=26,HR_Data[[#This Row],[Age]]&lt;=35),"26-35",AND(HR_Data[[#This Row],[Age]]&gt;=36,HR_Data[[#This Row],[Age]]&lt;=45),"36-45",HR_Data[[#This Row],[Age]]&gt;45,"45+")</f>
        <v>26-35</v>
      </c>
      <c r="AL2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91" spans="1:38"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f>IF(HR_Data[[#This Row],[Attrition]]="Yes",1,0)</f>
        <v>0</v>
      </c>
      <c r="AK291" t="str">
        <f>_xlfn.IFS(AND(HR_Data[[#This Row],[Age]]&gt;=18,HR_Data[[#This Row],[Age]]&lt;=25),"18-25",AND(HR_Data[[#This Row],[Age]]&gt;=26,HR_Data[[#This Row],[Age]]&lt;=35),"26-35",AND(HR_Data[[#This Row],[Age]]&gt;=36,HR_Data[[#This Row],[Age]]&lt;=45),"36-45",HR_Data[[#This Row],[Age]]&gt;45,"45+")</f>
        <v>26-35</v>
      </c>
      <c r="AL2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92" spans="1:38"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f>IF(HR_Data[[#This Row],[Attrition]]="Yes",1,0)</f>
        <v>0</v>
      </c>
      <c r="AK292" t="str">
        <f>_xlfn.IFS(AND(HR_Data[[#This Row],[Age]]&gt;=18,HR_Data[[#This Row],[Age]]&lt;=25),"18-25",AND(HR_Data[[#This Row],[Age]]&gt;=26,HR_Data[[#This Row],[Age]]&lt;=35),"26-35",AND(HR_Data[[#This Row],[Age]]&gt;=36,HR_Data[[#This Row],[Age]]&lt;=45),"36-45",HR_Data[[#This Row],[Age]]&gt;45,"45+")</f>
        <v>45+</v>
      </c>
      <c r="AL2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93" spans="1:38"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f>IF(HR_Data[[#This Row],[Attrition]]="Yes",1,0)</f>
        <v>0</v>
      </c>
      <c r="AK293" t="str">
        <f>_xlfn.IFS(AND(HR_Data[[#This Row],[Age]]&gt;=18,HR_Data[[#This Row],[Age]]&lt;=25),"18-25",AND(HR_Data[[#This Row],[Age]]&gt;=26,HR_Data[[#This Row],[Age]]&lt;=35),"26-35",AND(HR_Data[[#This Row],[Age]]&gt;=36,HR_Data[[#This Row],[Age]]&lt;=45),"36-45",HR_Data[[#This Row],[Age]]&gt;45,"45+")</f>
        <v>36-45</v>
      </c>
      <c r="AL2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94" spans="1:38"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f>IF(HR_Data[[#This Row],[Attrition]]="Yes",1,0)</f>
        <v>0</v>
      </c>
      <c r="AK294" t="str">
        <f>_xlfn.IFS(AND(HR_Data[[#This Row],[Age]]&gt;=18,HR_Data[[#This Row],[Age]]&lt;=25),"18-25",AND(HR_Data[[#This Row],[Age]]&gt;=26,HR_Data[[#This Row],[Age]]&lt;=35),"26-35",AND(HR_Data[[#This Row],[Age]]&gt;=36,HR_Data[[#This Row],[Age]]&lt;=45),"36-45",HR_Data[[#This Row],[Age]]&gt;45,"45+")</f>
        <v>26-35</v>
      </c>
      <c r="AL2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95" spans="1:38"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f>IF(HR_Data[[#This Row],[Attrition]]="Yes",1,0)</f>
        <v>1</v>
      </c>
      <c r="AK295" t="str">
        <f>_xlfn.IFS(AND(HR_Data[[#This Row],[Age]]&gt;=18,HR_Data[[#This Row],[Age]]&lt;=25),"18-25",AND(HR_Data[[#This Row],[Age]]&gt;=26,HR_Data[[#This Row],[Age]]&lt;=35),"26-35",AND(HR_Data[[#This Row],[Age]]&gt;=36,HR_Data[[#This Row],[Age]]&lt;=45),"36-45",HR_Data[[#This Row],[Age]]&gt;45,"45+")</f>
        <v>26-35</v>
      </c>
      <c r="AL2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296" spans="1:38"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f>IF(HR_Data[[#This Row],[Attrition]]="Yes",1,0)</f>
        <v>0</v>
      </c>
      <c r="AK296" t="str">
        <f>_xlfn.IFS(AND(HR_Data[[#This Row],[Age]]&gt;=18,HR_Data[[#This Row],[Age]]&lt;=25),"18-25",AND(HR_Data[[#This Row],[Age]]&gt;=26,HR_Data[[#This Row],[Age]]&lt;=35),"26-35",AND(HR_Data[[#This Row],[Age]]&gt;=36,HR_Data[[#This Row],[Age]]&lt;=45),"36-45",HR_Data[[#This Row],[Age]]&gt;45,"45+")</f>
        <v>36-45</v>
      </c>
      <c r="AL2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297" spans="1:38"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f>IF(HR_Data[[#This Row],[Attrition]]="Yes",1,0)</f>
        <v>0</v>
      </c>
      <c r="AK297" t="str">
        <f>_xlfn.IFS(AND(HR_Data[[#This Row],[Age]]&gt;=18,HR_Data[[#This Row],[Age]]&lt;=25),"18-25",AND(HR_Data[[#This Row],[Age]]&gt;=26,HR_Data[[#This Row],[Age]]&lt;=35),"26-35",AND(HR_Data[[#This Row],[Age]]&gt;=36,HR_Data[[#This Row],[Age]]&lt;=45),"36-45",HR_Data[[#This Row],[Age]]&gt;45,"45+")</f>
        <v>36-45</v>
      </c>
      <c r="AL2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298" spans="1:38"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f>IF(HR_Data[[#This Row],[Attrition]]="Yes",1,0)</f>
        <v>1</v>
      </c>
      <c r="AK298" t="str">
        <f>_xlfn.IFS(AND(HR_Data[[#This Row],[Age]]&gt;=18,HR_Data[[#This Row],[Age]]&lt;=25),"18-25",AND(HR_Data[[#This Row],[Age]]&gt;=26,HR_Data[[#This Row],[Age]]&lt;=35),"26-35",AND(HR_Data[[#This Row],[Age]]&gt;=36,HR_Data[[#This Row],[Age]]&lt;=45),"36-45",HR_Data[[#This Row],[Age]]&gt;45,"45+")</f>
        <v>18-25</v>
      </c>
      <c r="AL2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299" spans="1:38"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f>IF(HR_Data[[#This Row],[Attrition]]="Yes",1,0)</f>
        <v>0</v>
      </c>
      <c r="AK299" t="str">
        <f>_xlfn.IFS(AND(HR_Data[[#This Row],[Age]]&gt;=18,HR_Data[[#This Row],[Age]]&lt;=25),"18-25",AND(HR_Data[[#This Row],[Age]]&gt;=26,HR_Data[[#This Row],[Age]]&lt;=35),"26-35",AND(HR_Data[[#This Row],[Age]]&gt;=36,HR_Data[[#This Row],[Age]]&lt;=45),"36-45",HR_Data[[#This Row],[Age]]&gt;45,"45+")</f>
        <v>26-35</v>
      </c>
      <c r="AL2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00" spans="1:38"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f>IF(HR_Data[[#This Row],[Attrition]]="Yes",1,0)</f>
        <v>0</v>
      </c>
      <c r="AK300" t="str">
        <f>_xlfn.IFS(AND(HR_Data[[#This Row],[Age]]&gt;=18,HR_Data[[#This Row],[Age]]&lt;=25),"18-25",AND(HR_Data[[#This Row],[Age]]&gt;=26,HR_Data[[#This Row],[Age]]&lt;=35),"26-35",AND(HR_Data[[#This Row],[Age]]&gt;=36,HR_Data[[#This Row],[Age]]&lt;=45),"36-45",HR_Data[[#This Row],[Age]]&gt;45,"45+")</f>
        <v>36-45</v>
      </c>
      <c r="AL3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01" spans="1:38"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f>IF(HR_Data[[#This Row],[Attrition]]="Yes",1,0)</f>
        <v>0</v>
      </c>
      <c r="AK301" t="str">
        <f>_xlfn.IFS(AND(HR_Data[[#This Row],[Age]]&gt;=18,HR_Data[[#This Row],[Age]]&lt;=25),"18-25",AND(HR_Data[[#This Row],[Age]]&gt;=26,HR_Data[[#This Row],[Age]]&lt;=35),"26-35",AND(HR_Data[[#This Row],[Age]]&gt;=36,HR_Data[[#This Row],[Age]]&lt;=45),"36-45",HR_Data[[#This Row],[Age]]&gt;45,"45+")</f>
        <v>45+</v>
      </c>
      <c r="AL3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02" spans="1:38"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f>IF(HR_Data[[#This Row],[Attrition]]="Yes",1,0)</f>
        <v>0</v>
      </c>
      <c r="AK302" t="str">
        <f>_xlfn.IFS(AND(HR_Data[[#This Row],[Age]]&gt;=18,HR_Data[[#This Row],[Age]]&lt;=25),"18-25",AND(HR_Data[[#This Row],[Age]]&gt;=26,HR_Data[[#This Row],[Age]]&lt;=35),"26-35",AND(HR_Data[[#This Row],[Age]]&gt;=36,HR_Data[[#This Row],[Age]]&lt;=45),"36-45",HR_Data[[#This Row],[Age]]&gt;45,"45+")</f>
        <v>36-45</v>
      </c>
      <c r="AL3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03" spans="1:38"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f>IF(HR_Data[[#This Row],[Attrition]]="Yes",1,0)</f>
        <v>0</v>
      </c>
      <c r="AK303" t="str">
        <f>_xlfn.IFS(AND(HR_Data[[#This Row],[Age]]&gt;=18,HR_Data[[#This Row],[Age]]&lt;=25),"18-25",AND(HR_Data[[#This Row],[Age]]&gt;=26,HR_Data[[#This Row],[Age]]&lt;=35),"26-35",AND(HR_Data[[#This Row],[Age]]&gt;=36,HR_Data[[#This Row],[Age]]&lt;=45),"36-45",HR_Data[[#This Row],[Age]]&gt;45,"45+")</f>
        <v>18-25</v>
      </c>
      <c r="AL3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04" spans="1:38"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f>IF(HR_Data[[#This Row],[Attrition]]="Yes",1,0)</f>
        <v>0</v>
      </c>
      <c r="AK304" t="str">
        <f>_xlfn.IFS(AND(HR_Data[[#This Row],[Age]]&gt;=18,HR_Data[[#This Row],[Age]]&lt;=25),"18-25",AND(HR_Data[[#This Row],[Age]]&gt;=26,HR_Data[[#This Row],[Age]]&lt;=35),"26-35",AND(HR_Data[[#This Row],[Age]]&gt;=36,HR_Data[[#This Row],[Age]]&lt;=45),"36-45",HR_Data[[#This Row],[Age]]&gt;45,"45+")</f>
        <v>26-35</v>
      </c>
      <c r="AL3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05" spans="1:38"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f>IF(HR_Data[[#This Row],[Attrition]]="Yes",1,0)</f>
        <v>0</v>
      </c>
      <c r="AK305" t="str">
        <f>_xlfn.IFS(AND(HR_Data[[#This Row],[Age]]&gt;=18,HR_Data[[#This Row],[Age]]&lt;=25),"18-25",AND(HR_Data[[#This Row],[Age]]&gt;=26,HR_Data[[#This Row],[Age]]&lt;=35),"26-35",AND(HR_Data[[#This Row],[Age]]&gt;=36,HR_Data[[#This Row],[Age]]&lt;=45),"36-45",HR_Data[[#This Row],[Age]]&gt;45,"45+")</f>
        <v>26-35</v>
      </c>
      <c r="AL3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06" spans="1:38"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f>IF(HR_Data[[#This Row],[Attrition]]="Yes",1,0)</f>
        <v>0</v>
      </c>
      <c r="AK306" t="str">
        <f>_xlfn.IFS(AND(HR_Data[[#This Row],[Age]]&gt;=18,HR_Data[[#This Row],[Age]]&lt;=25),"18-25",AND(HR_Data[[#This Row],[Age]]&gt;=26,HR_Data[[#This Row],[Age]]&lt;=35),"26-35",AND(HR_Data[[#This Row],[Age]]&gt;=36,HR_Data[[#This Row],[Age]]&lt;=45),"36-45",HR_Data[[#This Row],[Age]]&gt;45,"45+")</f>
        <v>36-45</v>
      </c>
      <c r="AL3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07" spans="1:38"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f>IF(HR_Data[[#This Row],[Attrition]]="Yes",1,0)</f>
        <v>0</v>
      </c>
      <c r="AK307" t="str">
        <f>_xlfn.IFS(AND(HR_Data[[#This Row],[Age]]&gt;=18,HR_Data[[#This Row],[Age]]&lt;=25),"18-25",AND(HR_Data[[#This Row],[Age]]&gt;=26,HR_Data[[#This Row],[Age]]&lt;=35),"26-35",AND(HR_Data[[#This Row],[Age]]&gt;=36,HR_Data[[#This Row],[Age]]&lt;=45),"36-45",HR_Data[[#This Row],[Age]]&gt;45,"45+")</f>
        <v>36-45</v>
      </c>
      <c r="AL3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08" spans="1:38"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f>IF(HR_Data[[#This Row],[Attrition]]="Yes",1,0)</f>
        <v>0</v>
      </c>
      <c r="AK308" t="str">
        <f>_xlfn.IFS(AND(HR_Data[[#This Row],[Age]]&gt;=18,HR_Data[[#This Row],[Age]]&lt;=25),"18-25",AND(HR_Data[[#This Row],[Age]]&gt;=26,HR_Data[[#This Row],[Age]]&lt;=35),"26-35",AND(HR_Data[[#This Row],[Age]]&gt;=36,HR_Data[[#This Row],[Age]]&lt;=45),"36-45",HR_Data[[#This Row],[Age]]&gt;45,"45+")</f>
        <v>26-35</v>
      </c>
      <c r="AL3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09" spans="1:38"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f>IF(HR_Data[[#This Row],[Attrition]]="Yes",1,0)</f>
        <v>0</v>
      </c>
      <c r="AK309" t="str">
        <f>_xlfn.IFS(AND(HR_Data[[#This Row],[Age]]&gt;=18,HR_Data[[#This Row],[Age]]&lt;=25),"18-25",AND(HR_Data[[#This Row],[Age]]&gt;=26,HR_Data[[#This Row],[Age]]&lt;=35),"26-35",AND(HR_Data[[#This Row],[Age]]&gt;=36,HR_Data[[#This Row],[Age]]&lt;=45),"36-45",HR_Data[[#This Row],[Age]]&gt;45,"45+")</f>
        <v>36-45</v>
      </c>
      <c r="AL3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10" spans="1:38"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f>IF(HR_Data[[#This Row],[Attrition]]="Yes",1,0)</f>
        <v>0</v>
      </c>
      <c r="AK310" t="str">
        <f>_xlfn.IFS(AND(HR_Data[[#This Row],[Age]]&gt;=18,HR_Data[[#This Row],[Age]]&lt;=25),"18-25",AND(HR_Data[[#This Row],[Age]]&gt;=26,HR_Data[[#This Row],[Age]]&lt;=35),"26-35",AND(HR_Data[[#This Row],[Age]]&gt;=36,HR_Data[[#This Row],[Age]]&lt;=45),"36-45",HR_Data[[#This Row],[Age]]&gt;45,"45+")</f>
        <v>45+</v>
      </c>
      <c r="AL3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11" spans="1:38"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f>IF(HR_Data[[#This Row],[Attrition]]="Yes",1,0)</f>
        <v>0</v>
      </c>
      <c r="AK311" t="str">
        <f>_xlfn.IFS(AND(HR_Data[[#This Row],[Age]]&gt;=18,HR_Data[[#This Row],[Age]]&lt;=25),"18-25",AND(HR_Data[[#This Row],[Age]]&gt;=26,HR_Data[[#This Row],[Age]]&lt;=35),"26-35",AND(HR_Data[[#This Row],[Age]]&gt;=36,HR_Data[[#This Row],[Age]]&lt;=45),"36-45",HR_Data[[#This Row],[Age]]&gt;45,"45+")</f>
        <v>26-35</v>
      </c>
      <c r="AL3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12" spans="1:38"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f>IF(HR_Data[[#This Row],[Attrition]]="Yes",1,0)</f>
        <v>0</v>
      </c>
      <c r="AK312" t="str">
        <f>_xlfn.IFS(AND(HR_Data[[#This Row],[Age]]&gt;=18,HR_Data[[#This Row],[Age]]&lt;=25),"18-25",AND(HR_Data[[#This Row],[Age]]&gt;=26,HR_Data[[#This Row],[Age]]&lt;=35),"26-35",AND(HR_Data[[#This Row],[Age]]&gt;=36,HR_Data[[#This Row],[Age]]&lt;=45),"36-45",HR_Data[[#This Row],[Age]]&gt;45,"45+")</f>
        <v>26-35</v>
      </c>
      <c r="AL3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13" spans="1:38"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f>IF(HR_Data[[#This Row],[Attrition]]="Yes",1,0)</f>
        <v>0</v>
      </c>
      <c r="AK313" t="str">
        <f>_xlfn.IFS(AND(HR_Data[[#This Row],[Age]]&gt;=18,HR_Data[[#This Row],[Age]]&lt;=25),"18-25",AND(HR_Data[[#This Row],[Age]]&gt;=26,HR_Data[[#This Row],[Age]]&lt;=35),"26-35",AND(HR_Data[[#This Row],[Age]]&gt;=36,HR_Data[[#This Row],[Age]]&lt;=45),"36-45",HR_Data[[#This Row],[Age]]&gt;45,"45+")</f>
        <v>36-45</v>
      </c>
      <c r="AL3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14" spans="1:38"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f>IF(HR_Data[[#This Row],[Attrition]]="Yes",1,0)</f>
        <v>0</v>
      </c>
      <c r="AK314" t="str">
        <f>_xlfn.IFS(AND(HR_Data[[#This Row],[Age]]&gt;=18,HR_Data[[#This Row],[Age]]&lt;=25),"18-25",AND(HR_Data[[#This Row],[Age]]&gt;=26,HR_Data[[#This Row],[Age]]&lt;=35),"26-35",AND(HR_Data[[#This Row],[Age]]&gt;=36,HR_Data[[#This Row],[Age]]&lt;=45),"36-45",HR_Data[[#This Row],[Age]]&gt;45,"45+")</f>
        <v>26-35</v>
      </c>
      <c r="AL3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15" spans="1:38"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f>IF(HR_Data[[#This Row],[Attrition]]="Yes",1,0)</f>
        <v>0</v>
      </c>
      <c r="AK315" t="str">
        <f>_xlfn.IFS(AND(HR_Data[[#This Row],[Age]]&gt;=18,HR_Data[[#This Row],[Age]]&lt;=25),"18-25",AND(HR_Data[[#This Row],[Age]]&gt;=26,HR_Data[[#This Row],[Age]]&lt;=35),"26-35",AND(HR_Data[[#This Row],[Age]]&gt;=36,HR_Data[[#This Row],[Age]]&lt;=45),"36-45",HR_Data[[#This Row],[Age]]&gt;45,"45+")</f>
        <v>26-35</v>
      </c>
      <c r="AL3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16" spans="1:38"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f>IF(HR_Data[[#This Row],[Attrition]]="Yes",1,0)</f>
        <v>0</v>
      </c>
      <c r="AK316" t="str">
        <f>_xlfn.IFS(AND(HR_Data[[#This Row],[Age]]&gt;=18,HR_Data[[#This Row],[Age]]&lt;=25),"18-25",AND(HR_Data[[#This Row],[Age]]&gt;=26,HR_Data[[#This Row],[Age]]&lt;=35),"26-35",AND(HR_Data[[#This Row],[Age]]&gt;=36,HR_Data[[#This Row],[Age]]&lt;=45),"36-45",HR_Data[[#This Row],[Age]]&gt;45,"45+")</f>
        <v>36-45</v>
      </c>
      <c r="AL3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17" spans="1:38"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f>IF(HR_Data[[#This Row],[Attrition]]="Yes",1,0)</f>
        <v>0</v>
      </c>
      <c r="AK317" t="str">
        <f>_xlfn.IFS(AND(HR_Data[[#This Row],[Age]]&gt;=18,HR_Data[[#This Row],[Age]]&lt;=25),"18-25",AND(HR_Data[[#This Row],[Age]]&gt;=26,HR_Data[[#This Row],[Age]]&lt;=35),"26-35",AND(HR_Data[[#This Row],[Age]]&gt;=36,HR_Data[[#This Row],[Age]]&lt;=45),"36-45",HR_Data[[#This Row],[Age]]&gt;45,"45+")</f>
        <v>36-45</v>
      </c>
      <c r="AL3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18" spans="1:38"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f>IF(HR_Data[[#This Row],[Attrition]]="Yes",1,0)</f>
        <v>0</v>
      </c>
      <c r="AK318" t="str">
        <f>_xlfn.IFS(AND(HR_Data[[#This Row],[Age]]&gt;=18,HR_Data[[#This Row],[Age]]&lt;=25),"18-25",AND(HR_Data[[#This Row],[Age]]&gt;=26,HR_Data[[#This Row],[Age]]&lt;=35),"26-35",AND(HR_Data[[#This Row],[Age]]&gt;=36,HR_Data[[#This Row],[Age]]&lt;=45),"36-45",HR_Data[[#This Row],[Age]]&gt;45,"45+")</f>
        <v>45+</v>
      </c>
      <c r="AL3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19" spans="1:38"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f>IF(HR_Data[[#This Row],[Attrition]]="Yes",1,0)</f>
        <v>1</v>
      </c>
      <c r="AK319" t="str">
        <f>_xlfn.IFS(AND(HR_Data[[#This Row],[Age]]&gt;=18,HR_Data[[#This Row],[Age]]&lt;=25),"18-25",AND(HR_Data[[#This Row],[Age]]&gt;=26,HR_Data[[#This Row],[Age]]&lt;=35),"26-35",AND(HR_Data[[#This Row],[Age]]&gt;=36,HR_Data[[#This Row],[Age]]&lt;=45),"36-45",HR_Data[[#This Row],[Age]]&gt;45,"45+")</f>
        <v>45+</v>
      </c>
      <c r="AL3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20" spans="1:38"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f>IF(HR_Data[[#This Row],[Attrition]]="Yes",1,0)</f>
        <v>0</v>
      </c>
      <c r="AK320" t="str">
        <f>_xlfn.IFS(AND(HR_Data[[#This Row],[Age]]&gt;=18,HR_Data[[#This Row],[Age]]&lt;=25),"18-25",AND(HR_Data[[#This Row],[Age]]&gt;=26,HR_Data[[#This Row],[Age]]&lt;=35),"26-35",AND(HR_Data[[#This Row],[Age]]&gt;=36,HR_Data[[#This Row],[Age]]&lt;=45),"36-45",HR_Data[[#This Row],[Age]]&gt;45,"45+")</f>
        <v>26-35</v>
      </c>
      <c r="AL3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21" spans="1:38"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f>IF(HR_Data[[#This Row],[Attrition]]="Yes",1,0)</f>
        <v>0</v>
      </c>
      <c r="AK321" t="str">
        <f>_xlfn.IFS(AND(HR_Data[[#This Row],[Age]]&gt;=18,HR_Data[[#This Row],[Age]]&lt;=25),"18-25",AND(HR_Data[[#This Row],[Age]]&gt;=26,HR_Data[[#This Row],[Age]]&lt;=35),"26-35",AND(HR_Data[[#This Row],[Age]]&gt;=36,HR_Data[[#This Row],[Age]]&lt;=45),"36-45",HR_Data[[#This Row],[Age]]&gt;45,"45+")</f>
        <v>26-35</v>
      </c>
      <c r="AL3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22" spans="1:38"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f>IF(HR_Data[[#This Row],[Attrition]]="Yes",1,0)</f>
        <v>0</v>
      </c>
      <c r="AK322" t="str">
        <f>_xlfn.IFS(AND(HR_Data[[#This Row],[Age]]&gt;=18,HR_Data[[#This Row],[Age]]&lt;=25),"18-25",AND(HR_Data[[#This Row],[Age]]&gt;=26,HR_Data[[#This Row],[Age]]&lt;=35),"26-35",AND(HR_Data[[#This Row],[Age]]&gt;=36,HR_Data[[#This Row],[Age]]&lt;=45),"36-45",HR_Data[[#This Row],[Age]]&gt;45,"45+")</f>
        <v>26-35</v>
      </c>
      <c r="AL3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23" spans="1:38"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f>IF(HR_Data[[#This Row],[Attrition]]="Yes",1,0)</f>
        <v>0</v>
      </c>
      <c r="AK323" t="str">
        <f>_xlfn.IFS(AND(HR_Data[[#This Row],[Age]]&gt;=18,HR_Data[[#This Row],[Age]]&lt;=25),"18-25",AND(HR_Data[[#This Row],[Age]]&gt;=26,HR_Data[[#This Row],[Age]]&lt;=35),"26-35",AND(HR_Data[[#This Row],[Age]]&gt;=36,HR_Data[[#This Row],[Age]]&lt;=45),"36-45",HR_Data[[#This Row],[Age]]&gt;45,"45+")</f>
        <v>26-35</v>
      </c>
      <c r="AL3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24" spans="1:38"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f>IF(HR_Data[[#This Row],[Attrition]]="Yes",1,0)</f>
        <v>0</v>
      </c>
      <c r="AK324" t="str">
        <f>_xlfn.IFS(AND(HR_Data[[#This Row],[Age]]&gt;=18,HR_Data[[#This Row],[Age]]&lt;=25),"18-25",AND(HR_Data[[#This Row],[Age]]&gt;=26,HR_Data[[#This Row],[Age]]&lt;=35),"26-35",AND(HR_Data[[#This Row],[Age]]&gt;=36,HR_Data[[#This Row],[Age]]&lt;=45),"36-45",HR_Data[[#This Row],[Age]]&gt;45,"45+")</f>
        <v>26-35</v>
      </c>
      <c r="AL3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25" spans="1:38"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f>IF(HR_Data[[#This Row],[Attrition]]="Yes",1,0)</f>
        <v>1</v>
      </c>
      <c r="AK325" t="str">
        <f>_xlfn.IFS(AND(HR_Data[[#This Row],[Age]]&gt;=18,HR_Data[[#This Row],[Age]]&lt;=25),"18-25",AND(HR_Data[[#This Row],[Age]]&gt;=26,HR_Data[[#This Row],[Age]]&lt;=35),"26-35",AND(HR_Data[[#This Row],[Age]]&gt;=36,HR_Data[[#This Row],[Age]]&lt;=45),"36-45",HR_Data[[#This Row],[Age]]&gt;45,"45+")</f>
        <v>26-35</v>
      </c>
      <c r="AL3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26" spans="1:38"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f>IF(HR_Data[[#This Row],[Attrition]]="Yes",1,0)</f>
        <v>0</v>
      </c>
      <c r="AK326" t="str">
        <f>_xlfn.IFS(AND(HR_Data[[#This Row],[Age]]&gt;=18,HR_Data[[#This Row],[Age]]&lt;=25),"18-25",AND(HR_Data[[#This Row],[Age]]&gt;=26,HR_Data[[#This Row],[Age]]&lt;=35),"26-35",AND(HR_Data[[#This Row],[Age]]&gt;=36,HR_Data[[#This Row],[Age]]&lt;=45),"36-45",HR_Data[[#This Row],[Age]]&gt;45,"45+")</f>
        <v>26-35</v>
      </c>
      <c r="AL3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27" spans="1:38"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f>IF(HR_Data[[#This Row],[Attrition]]="Yes",1,0)</f>
        <v>0</v>
      </c>
      <c r="AK327" t="str">
        <f>_xlfn.IFS(AND(HR_Data[[#This Row],[Age]]&gt;=18,HR_Data[[#This Row],[Age]]&lt;=25),"18-25",AND(HR_Data[[#This Row],[Age]]&gt;=26,HR_Data[[#This Row],[Age]]&lt;=35),"26-35",AND(HR_Data[[#This Row],[Age]]&gt;=36,HR_Data[[#This Row],[Age]]&lt;=45),"36-45",HR_Data[[#This Row],[Age]]&gt;45,"45+")</f>
        <v>26-35</v>
      </c>
      <c r="AL3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28" spans="1:38"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f>IF(HR_Data[[#This Row],[Attrition]]="Yes",1,0)</f>
        <v>0</v>
      </c>
      <c r="AK328" t="str">
        <f>_xlfn.IFS(AND(HR_Data[[#This Row],[Age]]&gt;=18,HR_Data[[#This Row],[Age]]&lt;=25),"18-25",AND(HR_Data[[#This Row],[Age]]&gt;=26,HR_Data[[#This Row],[Age]]&lt;=35),"26-35",AND(HR_Data[[#This Row],[Age]]&gt;=36,HR_Data[[#This Row],[Age]]&lt;=45),"36-45",HR_Data[[#This Row],[Age]]&gt;45,"45+")</f>
        <v>36-45</v>
      </c>
      <c r="AL3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29" spans="1:38"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f>IF(HR_Data[[#This Row],[Attrition]]="Yes",1,0)</f>
        <v>1</v>
      </c>
      <c r="AK329" t="str">
        <f>_xlfn.IFS(AND(HR_Data[[#This Row],[Age]]&gt;=18,HR_Data[[#This Row],[Age]]&lt;=25),"18-25",AND(HR_Data[[#This Row],[Age]]&gt;=26,HR_Data[[#This Row],[Age]]&lt;=35),"26-35",AND(HR_Data[[#This Row],[Age]]&gt;=36,HR_Data[[#This Row],[Age]]&lt;=45),"36-45",HR_Data[[#This Row],[Age]]&gt;45,"45+")</f>
        <v>36-45</v>
      </c>
      <c r="AL3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30" spans="1:38"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f>IF(HR_Data[[#This Row],[Attrition]]="Yes",1,0)</f>
        <v>0</v>
      </c>
      <c r="AK330" t="str">
        <f>_xlfn.IFS(AND(HR_Data[[#This Row],[Age]]&gt;=18,HR_Data[[#This Row],[Age]]&lt;=25),"18-25",AND(HR_Data[[#This Row],[Age]]&gt;=26,HR_Data[[#This Row],[Age]]&lt;=35),"26-35",AND(HR_Data[[#This Row],[Age]]&gt;=36,HR_Data[[#This Row],[Age]]&lt;=45),"36-45",HR_Data[[#This Row],[Age]]&gt;45,"45+")</f>
        <v>26-35</v>
      </c>
      <c r="AL3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31" spans="1:38"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f>IF(HR_Data[[#This Row],[Attrition]]="Yes",1,0)</f>
        <v>0</v>
      </c>
      <c r="AK331" t="str">
        <f>_xlfn.IFS(AND(HR_Data[[#This Row],[Age]]&gt;=18,HR_Data[[#This Row],[Age]]&lt;=25),"18-25",AND(HR_Data[[#This Row],[Age]]&gt;=26,HR_Data[[#This Row],[Age]]&lt;=35),"26-35",AND(HR_Data[[#This Row],[Age]]&gt;=36,HR_Data[[#This Row],[Age]]&lt;=45),"36-45",HR_Data[[#This Row],[Age]]&gt;45,"45+")</f>
        <v>45+</v>
      </c>
      <c r="AL3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32" spans="1:38"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f>IF(HR_Data[[#This Row],[Attrition]]="Yes",1,0)</f>
        <v>0</v>
      </c>
      <c r="AK332" t="str">
        <f>_xlfn.IFS(AND(HR_Data[[#This Row],[Age]]&gt;=18,HR_Data[[#This Row],[Age]]&lt;=25),"18-25",AND(HR_Data[[#This Row],[Age]]&gt;=26,HR_Data[[#This Row],[Age]]&lt;=35),"26-35",AND(HR_Data[[#This Row],[Age]]&gt;=36,HR_Data[[#This Row],[Age]]&lt;=45),"36-45",HR_Data[[#This Row],[Age]]&gt;45,"45+")</f>
        <v>36-45</v>
      </c>
      <c r="AL3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33" spans="1:38"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f>IF(HR_Data[[#This Row],[Attrition]]="Yes",1,0)</f>
        <v>0</v>
      </c>
      <c r="AK333" t="str">
        <f>_xlfn.IFS(AND(HR_Data[[#This Row],[Age]]&gt;=18,HR_Data[[#This Row],[Age]]&lt;=25),"18-25",AND(HR_Data[[#This Row],[Age]]&gt;=26,HR_Data[[#This Row],[Age]]&lt;=35),"26-35",AND(HR_Data[[#This Row],[Age]]&gt;=36,HR_Data[[#This Row],[Age]]&lt;=45),"36-45",HR_Data[[#This Row],[Age]]&gt;45,"45+")</f>
        <v>26-35</v>
      </c>
      <c r="AL3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34" spans="1:38"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f>IF(HR_Data[[#This Row],[Attrition]]="Yes",1,0)</f>
        <v>0</v>
      </c>
      <c r="AK334" t="str">
        <f>_xlfn.IFS(AND(HR_Data[[#This Row],[Age]]&gt;=18,HR_Data[[#This Row],[Age]]&lt;=25),"18-25",AND(HR_Data[[#This Row],[Age]]&gt;=26,HR_Data[[#This Row],[Age]]&lt;=35),"26-35",AND(HR_Data[[#This Row],[Age]]&gt;=36,HR_Data[[#This Row],[Age]]&lt;=45),"36-45",HR_Data[[#This Row],[Age]]&gt;45,"45+")</f>
        <v>45+</v>
      </c>
      <c r="AL3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35" spans="1:38"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f>IF(HR_Data[[#This Row],[Attrition]]="Yes",1,0)</f>
        <v>0</v>
      </c>
      <c r="AK335" t="str">
        <f>_xlfn.IFS(AND(HR_Data[[#This Row],[Age]]&gt;=18,HR_Data[[#This Row],[Age]]&lt;=25),"18-25",AND(HR_Data[[#This Row],[Age]]&gt;=26,HR_Data[[#This Row],[Age]]&lt;=35),"26-35",AND(HR_Data[[#This Row],[Age]]&gt;=36,HR_Data[[#This Row],[Age]]&lt;=45),"36-45",HR_Data[[#This Row],[Age]]&gt;45,"45+")</f>
        <v>36-45</v>
      </c>
      <c r="AL3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36" spans="1:38"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f>IF(HR_Data[[#This Row],[Attrition]]="Yes",1,0)</f>
        <v>0</v>
      </c>
      <c r="AK336" t="str">
        <f>_xlfn.IFS(AND(HR_Data[[#This Row],[Age]]&gt;=18,HR_Data[[#This Row],[Age]]&lt;=25),"18-25",AND(HR_Data[[#This Row],[Age]]&gt;=26,HR_Data[[#This Row],[Age]]&lt;=35),"26-35",AND(HR_Data[[#This Row],[Age]]&gt;=36,HR_Data[[#This Row],[Age]]&lt;=45),"36-45",HR_Data[[#This Row],[Age]]&gt;45,"45+")</f>
        <v>36-45</v>
      </c>
      <c r="AL3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37" spans="1:38"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f>IF(HR_Data[[#This Row],[Attrition]]="Yes",1,0)</f>
        <v>0</v>
      </c>
      <c r="AK337" t="str">
        <f>_xlfn.IFS(AND(HR_Data[[#This Row],[Age]]&gt;=18,HR_Data[[#This Row],[Age]]&lt;=25),"18-25",AND(HR_Data[[#This Row],[Age]]&gt;=26,HR_Data[[#This Row],[Age]]&lt;=35),"26-35",AND(HR_Data[[#This Row],[Age]]&gt;=36,HR_Data[[#This Row],[Age]]&lt;=45),"36-45",HR_Data[[#This Row],[Age]]&gt;45,"45+")</f>
        <v>36-45</v>
      </c>
      <c r="AL3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38" spans="1:38"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f>IF(HR_Data[[#This Row],[Attrition]]="Yes",1,0)</f>
        <v>1</v>
      </c>
      <c r="AK338" t="str">
        <f>_xlfn.IFS(AND(HR_Data[[#This Row],[Age]]&gt;=18,HR_Data[[#This Row],[Age]]&lt;=25),"18-25",AND(HR_Data[[#This Row],[Age]]&gt;=26,HR_Data[[#This Row],[Age]]&lt;=35),"26-35",AND(HR_Data[[#This Row],[Age]]&gt;=36,HR_Data[[#This Row],[Age]]&lt;=45),"36-45",HR_Data[[#This Row],[Age]]&gt;45,"45+")</f>
        <v>26-35</v>
      </c>
      <c r="AL3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39" spans="1:38"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f>IF(HR_Data[[#This Row],[Attrition]]="Yes",1,0)</f>
        <v>0</v>
      </c>
      <c r="AK339" t="str">
        <f>_xlfn.IFS(AND(HR_Data[[#This Row],[Age]]&gt;=18,HR_Data[[#This Row],[Age]]&lt;=25),"18-25",AND(HR_Data[[#This Row],[Age]]&gt;=26,HR_Data[[#This Row],[Age]]&lt;=35),"26-35",AND(HR_Data[[#This Row],[Age]]&gt;=36,HR_Data[[#This Row],[Age]]&lt;=45),"36-45",HR_Data[[#This Row],[Age]]&gt;45,"45+")</f>
        <v>26-35</v>
      </c>
      <c r="AL3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40" spans="1:38"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f>IF(HR_Data[[#This Row],[Attrition]]="Yes",1,0)</f>
        <v>0</v>
      </c>
      <c r="AK340" t="str">
        <f>_xlfn.IFS(AND(HR_Data[[#This Row],[Age]]&gt;=18,HR_Data[[#This Row],[Age]]&lt;=25),"18-25",AND(HR_Data[[#This Row],[Age]]&gt;=26,HR_Data[[#This Row],[Age]]&lt;=35),"26-35",AND(HR_Data[[#This Row],[Age]]&gt;=36,HR_Data[[#This Row],[Age]]&lt;=45),"36-45",HR_Data[[#This Row],[Age]]&gt;45,"45+")</f>
        <v>26-35</v>
      </c>
      <c r="AL3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41" spans="1:38"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f>IF(HR_Data[[#This Row],[Attrition]]="Yes",1,0)</f>
        <v>0</v>
      </c>
      <c r="AK341" t="str">
        <f>_xlfn.IFS(AND(HR_Data[[#This Row],[Age]]&gt;=18,HR_Data[[#This Row],[Age]]&lt;=25),"18-25",AND(HR_Data[[#This Row],[Age]]&gt;=26,HR_Data[[#This Row],[Age]]&lt;=35),"26-35",AND(HR_Data[[#This Row],[Age]]&gt;=36,HR_Data[[#This Row],[Age]]&lt;=45),"36-45",HR_Data[[#This Row],[Age]]&gt;45,"45+")</f>
        <v>26-35</v>
      </c>
      <c r="AL3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42" spans="1:38"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f>IF(HR_Data[[#This Row],[Attrition]]="Yes",1,0)</f>
        <v>0</v>
      </c>
      <c r="AK342" t="str">
        <f>_xlfn.IFS(AND(HR_Data[[#This Row],[Age]]&gt;=18,HR_Data[[#This Row],[Age]]&lt;=25),"18-25",AND(HR_Data[[#This Row],[Age]]&gt;=26,HR_Data[[#This Row],[Age]]&lt;=35),"26-35",AND(HR_Data[[#This Row],[Age]]&gt;=36,HR_Data[[#This Row],[Age]]&lt;=45),"36-45",HR_Data[[#This Row],[Age]]&gt;45,"45+")</f>
        <v>36-45</v>
      </c>
      <c r="AL3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43" spans="1:38"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f>IF(HR_Data[[#This Row],[Attrition]]="Yes",1,0)</f>
        <v>0</v>
      </c>
      <c r="AK343" t="str">
        <f>_xlfn.IFS(AND(HR_Data[[#This Row],[Age]]&gt;=18,HR_Data[[#This Row],[Age]]&lt;=25),"18-25",AND(HR_Data[[#This Row],[Age]]&gt;=26,HR_Data[[#This Row],[Age]]&lt;=35),"26-35",AND(HR_Data[[#This Row],[Age]]&gt;=36,HR_Data[[#This Row],[Age]]&lt;=45),"36-45",HR_Data[[#This Row],[Age]]&gt;45,"45+")</f>
        <v>36-45</v>
      </c>
      <c r="AL3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44" spans="1:38"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f>IF(HR_Data[[#This Row],[Attrition]]="Yes",1,0)</f>
        <v>0</v>
      </c>
      <c r="AK344" t="str">
        <f>_xlfn.IFS(AND(HR_Data[[#This Row],[Age]]&gt;=18,HR_Data[[#This Row],[Age]]&lt;=25),"18-25",AND(HR_Data[[#This Row],[Age]]&gt;=26,HR_Data[[#This Row],[Age]]&lt;=35),"26-35",AND(HR_Data[[#This Row],[Age]]&gt;=36,HR_Data[[#This Row],[Age]]&lt;=45),"36-45",HR_Data[[#This Row],[Age]]&gt;45,"45+")</f>
        <v>26-35</v>
      </c>
      <c r="AL3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45" spans="1:38"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f>IF(HR_Data[[#This Row],[Attrition]]="Yes",1,0)</f>
        <v>0</v>
      </c>
      <c r="AK345" t="str">
        <f>_xlfn.IFS(AND(HR_Data[[#This Row],[Age]]&gt;=18,HR_Data[[#This Row],[Age]]&lt;=25),"18-25",AND(HR_Data[[#This Row],[Age]]&gt;=26,HR_Data[[#This Row],[Age]]&lt;=35),"26-35",AND(HR_Data[[#This Row],[Age]]&gt;=36,HR_Data[[#This Row],[Age]]&lt;=45),"36-45",HR_Data[[#This Row],[Age]]&gt;45,"45+")</f>
        <v>26-35</v>
      </c>
      <c r="AL3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46" spans="1:38"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f>IF(HR_Data[[#This Row],[Attrition]]="Yes",1,0)</f>
        <v>0</v>
      </c>
      <c r="AK346" t="str">
        <f>_xlfn.IFS(AND(HR_Data[[#This Row],[Age]]&gt;=18,HR_Data[[#This Row],[Age]]&lt;=25),"18-25",AND(HR_Data[[#This Row],[Age]]&gt;=26,HR_Data[[#This Row],[Age]]&lt;=35),"26-35",AND(HR_Data[[#This Row],[Age]]&gt;=36,HR_Data[[#This Row],[Age]]&lt;=45),"36-45",HR_Data[[#This Row],[Age]]&gt;45,"45+")</f>
        <v>26-35</v>
      </c>
      <c r="AL3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47" spans="1:38"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f>IF(HR_Data[[#This Row],[Attrition]]="Yes",1,0)</f>
        <v>0</v>
      </c>
      <c r="AK347" t="str">
        <f>_xlfn.IFS(AND(HR_Data[[#This Row],[Age]]&gt;=18,HR_Data[[#This Row],[Age]]&lt;=25),"18-25",AND(HR_Data[[#This Row],[Age]]&gt;=26,HR_Data[[#This Row],[Age]]&lt;=35),"26-35",AND(HR_Data[[#This Row],[Age]]&gt;=36,HR_Data[[#This Row],[Age]]&lt;=45),"36-45",HR_Data[[#This Row],[Age]]&gt;45,"45+")</f>
        <v>18-25</v>
      </c>
      <c r="AL3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48" spans="1:38"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f>IF(HR_Data[[#This Row],[Attrition]]="Yes",1,0)</f>
        <v>0</v>
      </c>
      <c r="AK348" t="str">
        <f>_xlfn.IFS(AND(HR_Data[[#This Row],[Age]]&gt;=18,HR_Data[[#This Row],[Age]]&lt;=25),"18-25",AND(HR_Data[[#This Row],[Age]]&gt;=26,HR_Data[[#This Row],[Age]]&lt;=35),"26-35",AND(HR_Data[[#This Row],[Age]]&gt;=36,HR_Data[[#This Row],[Age]]&lt;=45),"36-45",HR_Data[[#This Row],[Age]]&gt;45,"45+")</f>
        <v>36-45</v>
      </c>
      <c r="AL3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49" spans="1:38"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f>IF(HR_Data[[#This Row],[Attrition]]="Yes",1,0)</f>
        <v>0</v>
      </c>
      <c r="AK349" t="str">
        <f>_xlfn.IFS(AND(HR_Data[[#This Row],[Age]]&gt;=18,HR_Data[[#This Row],[Age]]&lt;=25),"18-25",AND(HR_Data[[#This Row],[Age]]&gt;=26,HR_Data[[#This Row],[Age]]&lt;=35),"26-35",AND(HR_Data[[#This Row],[Age]]&gt;=36,HR_Data[[#This Row],[Age]]&lt;=45),"36-45",HR_Data[[#This Row],[Age]]&gt;45,"45+")</f>
        <v>45+</v>
      </c>
      <c r="AL3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50" spans="1:38"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f>IF(HR_Data[[#This Row],[Attrition]]="Yes",1,0)</f>
        <v>0</v>
      </c>
      <c r="AK350" t="str">
        <f>_xlfn.IFS(AND(HR_Data[[#This Row],[Age]]&gt;=18,HR_Data[[#This Row],[Age]]&lt;=25),"18-25",AND(HR_Data[[#This Row],[Age]]&gt;=26,HR_Data[[#This Row],[Age]]&lt;=35),"26-35",AND(HR_Data[[#This Row],[Age]]&gt;=36,HR_Data[[#This Row],[Age]]&lt;=45),"36-45",HR_Data[[#This Row],[Age]]&gt;45,"45+")</f>
        <v>36-45</v>
      </c>
      <c r="AL3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51" spans="1:38"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f>IF(HR_Data[[#This Row],[Attrition]]="Yes",1,0)</f>
        <v>0</v>
      </c>
      <c r="AK351" t="str">
        <f>_xlfn.IFS(AND(HR_Data[[#This Row],[Age]]&gt;=18,HR_Data[[#This Row],[Age]]&lt;=25),"18-25",AND(HR_Data[[#This Row],[Age]]&gt;=26,HR_Data[[#This Row],[Age]]&lt;=35),"26-35",AND(HR_Data[[#This Row],[Age]]&gt;=36,HR_Data[[#This Row],[Age]]&lt;=45),"36-45",HR_Data[[#This Row],[Age]]&gt;45,"45+")</f>
        <v>26-35</v>
      </c>
      <c r="AL3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52" spans="1:38"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f>IF(HR_Data[[#This Row],[Attrition]]="Yes",1,0)</f>
        <v>0</v>
      </c>
      <c r="AK352" t="str">
        <f>_xlfn.IFS(AND(HR_Data[[#This Row],[Age]]&gt;=18,HR_Data[[#This Row],[Age]]&lt;=25),"18-25",AND(HR_Data[[#This Row],[Age]]&gt;=26,HR_Data[[#This Row],[Age]]&lt;=35),"26-35",AND(HR_Data[[#This Row],[Age]]&gt;=36,HR_Data[[#This Row],[Age]]&lt;=45),"36-45",HR_Data[[#This Row],[Age]]&gt;45,"45+")</f>
        <v>36-45</v>
      </c>
      <c r="AL3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53" spans="1:38"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f>IF(HR_Data[[#This Row],[Attrition]]="Yes",1,0)</f>
        <v>0</v>
      </c>
      <c r="AK353" t="str">
        <f>_xlfn.IFS(AND(HR_Data[[#This Row],[Age]]&gt;=18,HR_Data[[#This Row],[Age]]&lt;=25),"18-25",AND(HR_Data[[#This Row],[Age]]&gt;=26,HR_Data[[#This Row],[Age]]&lt;=35),"26-35",AND(HR_Data[[#This Row],[Age]]&gt;=36,HR_Data[[#This Row],[Age]]&lt;=45),"36-45",HR_Data[[#This Row],[Age]]&gt;45,"45+")</f>
        <v>26-35</v>
      </c>
      <c r="AL3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54" spans="1:38"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f>IF(HR_Data[[#This Row],[Attrition]]="Yes",1,0)</f>
        <v>0</v>
      </c>
      <c r="AK354" t="str">
        <f>_xlfn.IFS(AND(HR_Data[[#This Row],[Age]]&gt;=18,HR_Data[[#This Row],[Age]]&lt;=25),"18-25",AND(HR_Data[[#This Row],[Age]]&gt;=26,HR_Data[[#This Row],[Age]]&lt;=35),"26-35",AND(HR_Data[[#This Row],[Age]]&gt;=36,HR_Data[[#This Row],[Age]]&lt;=45),"36-45",HR_Data[[#This Row],[Age]]&gt;45,"45+")</f>
        <v>45+</v>
      </c>
      <c r="AL3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55" spans="1:38"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f>IF(HR_Data[[#This Row],[Attrition]]="Yes",1,0)</f>
        <v>0</v>
      </c>
      <c r="AK355" t="str">
        <f>_xlfn.IFS(AND(HR_Data[[#This Row],[Age]]&gt;=18,HR_Data[[#This Row],[Age]]&lt;=25),"18-25",AND(HR_Data[[#This Row],[Age]]&gt;=26,HR_Data[[#This Row],[Age]]&lt;=35),"26-35",AND(HR_Data[[#This Row],[Age]]&gt;=36,HR_Data[[#This Row],[Age]]&lt;=45),"36-45",HR_Data[[#This Row],[Age]]&gt;45,"45+")</f>
        <v>36-45</v>
      </c>
      <c r="AL3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56" spans="1:38"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f>IF(HR_Data[[#This Row],[Attrition]]="Yes",1,0)</f>
        <v>0</v>
      </c>
      <c r="AK356" t="str">
        <f>_xlfn.IFS(AND(HR_Data[[#This Row],[Age]]&gt;=18,HR_Data[[#This Row],[Age]]&lt;=25),"18-25",AND(HR_Data[[#This Row],[Age]]&gt;=26,HR_Data[[#This Row],[Age]]&lt;=35),"26-35",AND(HR_Data[[#This Row],[Age]]&gt;=36,HR_Data[[#This Row],[Age]]&lt;=45),"36-45",HR_Data[[#This Row],[Age]]&gt;45,"45+")</f>
        <v>26-35</v>
      </c>
      <c r="AL3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57" spans="1:38"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f>IF(HR_Data[[#This Row],[Attrition]]="Yes",1,0)</f>
        <v>0</v>
      </c>
      <c r="AK357" t="str">
        <f>_xlfn.IFS(AND(HR_Data[[#This Row],[Age]]&gt;=18,HR_Data[[#This Row],[Age]]&lt;=25),"18-25",AND(HR_Data[[#This Row],[Age]]&gt;=26,HR_Data[[#This Row],[Age]]&lt;=35),"26-35",AND(HR_Data[[#This Row],[Age]]&gt;=36,HR_Data[[#This Row],[Age]]&lt;=45),"36-45",HR_Data[[#This Row],[Age]]&gt;45,"45+")</f>
        <v>26-35</v>
      </c>
      <c r="AL3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58" spans="1:38"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f>IF(HR_Data[[#This Row],[Attrition]]="Yes",1,0)</f>
        <v>0</v>
      </c>
      <c r="AK358" t="str">
        <f>_xlfn.IFS(AND(HR_Data[[#This Row],[Age]]&gt;=18,HR_Data[[#This Row],[Age]]&lt;=25),"18-25",AND(HR_Data[[#This Row],[Age]]&gt;=26,HR_Data[[#This Row],[Age]]&lt;=35),"26-35",AND(HR_Data[[#This Row],[Age]]&gt;=36,HR_Data[[#This Row],[Age]]&lt;=45),"36-45",HR_Data[[#This Row],[Age]]&gt;45,"45+")</f>
        <v>36-45</v>
      </c>
      <c r="AL3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59" spans="1:38"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f>IF(HR_Data[[#This Row],[Attrition]]="Yes",1,0)</f>
        <v>1</v>
      </c>
      <c r="AK359" t="str">
        <f>_xlfn.IFS(AND(HR_Data[[#This Row],[Age]]&gt;=18,HR_Data[[#This Row],[Age]]&lt;=25),"18-25",AND(HR_Data[[#This Row],[Age]]&gt;=26,HR_Data[[#This Row],[Age]]&lt;=35),"26-35",AND(HR_Data[[#This Row],[Age]]&gt;=36,HR_Data[[#This Row],[Age]]&lt;=45),"36-45",HR_Data[[#This Row],[Age]]&gt;45,"45+")</f>
        <v>18-25</v>
      </c>
      <c r="AL3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60" spans="1:38"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f>IF(HR_Data[[#This Row],[Attrition]]="Yes",1,0)</f>
        <v>0</v>
      </c>
      <c r="AK360" t="str">
        <f>_xlfn.IFS(AND(HR_Data[[#This Row],[Age]]&gt;=18,HR_Data[[#This Row],[Age]]&lt;=25),"18-25",AND(HR_Data[[#This Row],[Age]]&gt;=26,HR_Data[[#This Row],[Age]]&lt;=35),"26-35",AND(HR_Data[[#This Row],[Age]]&gt;=36,HR_Data[[#This Row],[Age]]&lt;=45),"36-45",HR_Data[[#This Row],[Age]]&gt;45,"45+")</f>
        <v>36-45</v>
      </c>
      <c r="AL3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61" spans="1:38"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f>IF(HR_Data[[#This Row],[Attrition]]="Yes",1,0)</f>
        <v>0</v>
      </c>
      <c r="AK361" t="str">
        <f>_xlfn.IFS(AND(HR_Data[[#This Row],[Age]]&gt;=18,HR_Data[[#This Row],[Age]]&lt;=25),"18-25",AND(HR_Data[[#This Row],[Age]]&gt;=26,HR_Data[[#This Row],[Age]]&lt;=35),"26-35",AND(HR_Data[[#This Row],[Age]]&gt;=36,HR_Data[[#This Row],[Age]]&lt;=45),"36-45",HR_Data[[#This Row],[Age]]&gt;45,"45+")</f>
        <v>36-45</v>
      </c>
      <c r="AL3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62" spans="1:38"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f>IF(HR_Data[[#This Row],[Attrition]]="Yes",1,0)</f>
        <v>0</v>
      </c>
      <c r="AK362" t="str">
        <f>_xlfn.IFS(AND(HR_Data[[#This Row],[Age]]&gt;=18,HR_Data[[#This Row],[Age]]&lt;=25),"18-25",AND(HR_Data[[#This Row],[Age]]&gt;=26,HR_Data[[#This Row],[Age]]&lt;=35),"26-35",AND(HR_Data[[#This Row],[Age]]&gt;=36,HR_Data[[#This Row],[Age]]&lt;=45),"36-45",HR_Data[[#This Row],[Age]]&gt;45,"45+")</f>
        <v>45+</v>
      </c>
      <c r="AL3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63" spans="1:38"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f>IF(HR_Data[[#This Row],[Attrition]]="Yes",1,0)</f>
        <v>0</v>
      </c>
      <c r="AK363" t="str">
        <f>_xlfn.IFS(AND(HR_Data[[#This Row],[Age]]&gt;=18,HR_Data[[#This Row],[Age]]&lt;=25),"18-25",AND(HR_Data[[#This Row],[Age]]&gt;=26,HR_Data[[#This Row],[Age]]&lt;=35),"26-35",AND(HR_Data[[#This Row],[Age]]&gt;=36,HR_Data[[#This Row],[Age]]&lt;=45),"36-45",HR_Data[[#This Row],[Age]]&gt;45,"45+")</f>
        <v>36-45</v>
      </c>
      <c r="AL3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64" spans="1:38"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f>IF(HR_Data[[#This Row],[Attrition]]="Yes",1,0)</f>
        <v>0</v>
      </c>
      <c r="AK364" t="str">
        <f>_xlfn.IFS(AND(HR_Data[[#This Row],[Age]]&gt;=18,HR_Data[[#This Row],[Age]]&lt;=25),"18-25",AND(HR_Data[[#This Row],[Age]]&gt;=26,HR_Data[[#This Row],[Age]]&lt;=35),"26-35",AND(HR_Data[[#This Row],[Age]]&gt;=36,HR_Data[[#This Row],[Age]]&lt;=45),"36-45",HR_Data[[#This Row],[Age]]&gt;45,"45+")</f>
        <v>18-25</v>
      </c>
      <c r="AL3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65" spans="1:38"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f>IF(HR_Data[[#This Row],[Attrition]]="Yes",1,0)</f>
        <v>1</v>
      </c>
      <c r="AK365" t="str">
        <f>_xlfn.IFS(AND(HR_Data[[#This Row],[Age]]&gt;=18,HR_Data[[#This Row],[Age]]&lt;=25),"18-25",AND(HR_Data[[#This Row],[Age]]&gt;=26,HR_Data[[#This Row],[Age]]&lt;=35),"26-35",AND(HR_Data[[#This Row],[Age]]&gt;=36,HR_Data[[#This Row],[Age]]&lt;=45),"36-45",HR_Data[[#This Row],[Age]]&gt;45,"45+")</f>
        <v>26-35</v>
      </c>
      <c r="AL3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66" spans="1:38"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f>IF(HR_Data[[#This Row],[Attrition]]="Yes",1,0)</f>
        <v>0</v>
      </c>
      <c r="AK366" t="str">
        <f>_xlfn.IFS(AND(HR_Data[[#This Row],[Age]]&gt;=18,HR_Data[[#This Row],[Age]]&lt;=25),"18-25",AND(HR_Data[[#This Row],[Age]]&gt;=26,HR_Data[[#This Row],[Age]]&lt;=35),"26-35",AND(HR_Data[[#This Row],[Age]]&gt;=36,HR_Data[[#This Row],[Age]]&lt;=45),"36-45",HR_Data[[#This Row],[Age]]&gt;45,"45+")</f>
        <v>36-45</v>
      </c>
      <c r="AL3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67" spans="1:38"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f>IF(HR_Data[[#This Row],[Attrition]]="Yes",1,0)</f>
        <v>0</v>
      </c>
      <c r="AK367" t="str">
        <f>_xlfn.IFS(AND(HR_Data[[#This Row],[Age]]&gt;=18,HR_Data[[#This Row],[Age]]&lt;=25),"18-25",AND(HR_Data[[#This Row],[Age]]&gt;=26,HR_Data[[#This Row],[Age]]&lt;=35),"26-35",AND(HR_Data[[#This Row],[Age]]&gt;=36,HR_Data[[#This Row],[Age]]&lt;=45),"36-45",HR_Data[[#This Row],[Age]]&gt;45,"45+")</f>
        <v>45+</v>
      </c>
      <c r="AL3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68" spans="1:38"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f>IF(HR_Data[[#This Row],[Attrition]]="Yes",1,0)</f>
        <v>1</v>
      </c>
      <c r="AK368" t="str">
        <f>_xlfn.IFS(AND(HR_Data[[#This Row],[Age]]&gt;=18,HR_Data[[#This Row],[Age]]&lt;=25),"18-25",AND(HR_Data[[#This Row],[Age]]&gt;=26,HR_Data[[#This Row],[Age]]&lt;=35),"26-35",AND(HR_Data[[#This Row],[Age]]&gt;=36,HR_Data[[#This Row],[Age]]&lt;=45),"36-45",HR_Data[[#This Row],[Age]]&gt;45,"45+")</f>
        <v>36-45</v>
      </c>
      <c r="AL3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69" spans="1:38"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f>IF(HR_Data[[#This Row],[Attrition]]="Yes",1,0)</f>
        <v>0</v>
      </c>
      <c r="AK369" t="str">
        <f>_xlfn.IFS(AND(HR_Data[[#This Row],[Age]]&gt;=18,HR_Data[[#This Row],[Age]]&lt;=25),"18-25",AND(HR_Data[[#This Row],[Age]]&gt;=26,HR_Data[[#This Row],[Age]]&lt;=35),"26-35",AND(HR_Data[[#This Row],[Age]]&gt;=36,HR_Data[[#This Row],[Age]]&lt;=45),"36-45",HR_Data[[#This Row],[Age]]&gt;45,"45+")</f>
        <v>45+</v>
      </c>
      <c r="AL3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70" spans="1:38"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f>IF(HR_Data[[#This Row],[Attrition]]="Yes",1,0)</f>
        <v>1</v>
      </c>
      <c r="AK370" t="str">
        <f>_xlfn.IFS(AND(HR_Data[[#This Row],[Age]]&gt;=18,HR_Data[[#This Row],[Age]]&lt;=25),"18-25",AND(HR_Data[[#This Row],[Age]]&gt;=26,HR_Data[[#This Row],[Age]]&lt;=35),"26-35",AND(HR_Data[[#This Row],[Age]]&gt;=36,HR_Data[[#This Row],[Age]]&lt;=45),"36-45",HR_Data[[#This Row],[Age]]&gt;45,"45+")</f>
        <v>36-45</v>
      </c>
      <c r="AL3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71" spans="1:38"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f>IF(HR_Data[[#This Row],[Attrition]]="Yes",1,0)</f>
        <v>0</v>
      </c>
      <c r="AK371" t="str">
        <f>_xlfn.IFS(AND(HR_Data[[#This Row],[Age]]&gt;=18,HR_Data[[#This Row],[Age]]&lt;=25),"18-25",AND(HR_Data[[#This Row],[Age]]&gt;=26,HR_Data[[#This Row],[Age]]&lt;=35),"26-35",AND(HR_Data[[#This Row],[Age]]&gt;=36,HR_Data[[#This Row],[Age]]&lt;=45),"36-45",HR_Data[[#This Row],[Age]]&gt;45,"45+")</f>
        <v>26-35</v>
      </c>
      <c r="AL3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72" spans="1:38"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f>IF(HR_Data[[#This Row],[Attrition]]="Yes",1,0)</f>
        <v>1</v>
      </c>
      <c r="AK372" t="str">
        <f>_xlfn.IFS(AND(HR_Data[[#This Row],[Age]]&gt;=18,HR_Data[[#This Row],[Age]]&lt;=25),"18-25",AND(HR_Data[[#This Row],[Age]]&gt;=26,HR_Data[[#This Row],[Age]]&lt;=35),"26-35",AND(HR_Data[[#This Row],[Age]]&gt;=36,HR_Data[[#This Row],[Age]]&lt;=45),"36-45",HR_Data[[#This Row],[Age]]&gt;45,"45+")</f>
        <v>18-25</v>
      </c>
      <c r="AL3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73" spans="1:38"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f>IF(HR_Data[[#This Row],[Attrition]]="Yes",1,0)</f>
        <v>0</v>
      </c>
      <c r="AK373" t="str">
        <f>_xlfn.IFS(AND(HR_Data[[#This Row],[Age]]&gt;=18,HR_Data[[#This Row],[Age]]&lt;=25),"18-25",AND(HR_Data[[#This Row],[Age]]&gt;=26,HR_Data[[#This Row],[Age]]&lt;=35),"26-35",AND(HR_Data[[#This Row],[Age]]&gt;=36,HR_Data[[#This Row],[Age]]&lt;=45),"36-45",HR_Data[[#This Row],[Age]]&gt;45,"45+")</f>
        <v>26-35</v>
      </c>
      <c r="AL3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74" spans="1:38"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f>IF(HR_Data[[#This Row],[Attrition]]="Yes",1,0)</f>
        <v>0</v>
      </c>
      <c r="AK374" t="str">
        <f>_xlfn.IFS(AND(HR_Data[[#This Row],[Age]]&gt;=18,HR_Data[[#This Row],[Age]]&lt;=25),"18-25",AND(HR_Data[[#This Row],[Age]]&gt;=26,HR_Data[[#This Row],[Age]]&lt;=35),"26-35",AND(HR_Data[[#This Row],[Age]]&gt;=36,HR_Data[[#This Row],[Age]]&lt;=45),"36-45",HR_Data[[#This Row],[Age]]&gt;45,"45+")</f>
        <v>26-35</v>
      </c>
      <c r="AL3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75" spans="1:38"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f>IF(HR_Data[[#This Row],[Attrition]]="Yes",1,0)</f>
        <v>0</v>
      </c>
      <c r="AK375" t="str">
        <f>_xlfn.IFS(AND(HR_Data[[#This Row],[Age]]&gt;=18,HR_Data[[#This Row],[Age]]&lt;=25),"18-25",AND(HR_Data[[#This Row],[Age]]&gt;=26,HR_Data[[#This Row],[Age]]&lt;=35),"26-35",AND(HR_Data[[#This Row],[Age]]&gt;=36,HR_Data[[#This Row],[Age]]&lt;=45),"36-45",HR_Data[[#This Row],[Age]]&gt;45,"45+")</f>
        <v>26-35</v>
      </c>
      <c r="AL3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76" spans="1:38"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f>IF(HR_Data[[#This Row],[Attrition]]="Yes",1,0)</f>
        <v>0</v>
      </c>
      <c r="AK376" t="str">
        <f>_xlfn.IFS(AND(HR_Data[[#This Row],[Age]]&gt;=18,HR_Data[[#This Row],[Age]]&lt;=25),"18-25",AND(HR_Data[[#This Row],[Age]]&gt;=26,HR_Data[[#This Row],[Age]]&lt;=35),"26-35",AND(HR_Data[[#This Row],[Age]]&gt;=36,HR_Data[[#This Row],[Age]]&lt;=45),"36-45",HR_Data[[#This Row],[Age]]&gt;45,"45+")</f>
        <v>26-35</v>
      </c>
      <c r="AL3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77" spans="1:38"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f>IF(HR_Data[[#This Row],[Attrition]]="Yes",1,0)</f>
        <v>0</v>
      </c>
      <c r="AK377" t="str">
        <f>_xlfn.IFS(AND(HR_Data[[#This Row],[Age]]&gt;=18,HR_Data[[#This Row],[Age]]&lt;=25),"18-25",AND(HR_Data[[#This Row],[Age]]&gt;=26,HR_Data[[#This Row],[Age]]&lt;=35),"26-35",AND(HR_Data[[#This Row],[Age]]&gt;=36,HR_Data[[#This Row],[Age]]&lt;=45),"36-45",HR_Data[[#This Row],[Age]]&gt;45,"45+")</f>
        <v>45+</v>
      </c>
      <c r="AL3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78" spans="1:38"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f>IF(HR_Data[[#This Row],[Attrition]]="Yes",1,0)</f>
        <v>0</v>
      </c>
      <c r="AK378" t="str">
        <f>_xlfn.IFS(AND(HR_Data[[#This Row],[Age]]&gt;=18,HR_Data[[#This Row],[Age]]&lt;=25),"18-25",AND(HR_Data[[#This Row],[Age]]&gt;=26,HR_Data[[#This Row],[Age]]&lt;=35),"26-35",AND(HR_Data[[#This Row],[Age]]&gt;=36,HR_Data[[#This Row],[Age]]&lt;=45),"36-45",HR_Data[[#This Row],[Age]]&gt;45,"45+")</f>
        <v>45+</v>
      </c>
      <c r="AL3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79" spans="1:38"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f>IF(HR_Data[[#This Row],[Attrition]]="Yes",1,0)</f>
        <v>0</v>
      </c>
      <c r="AK379" t="str">
        <f>_xlfn.IFS(AND(HR_Data[[#This Row],[Age]]&gt;=18,HR_Data[[#This Row],[Age]]&lt;=25),"18-25",AND(HR_Data[[#This Row],[Age]]&gt;=26,HR_Data[[#This Row],[Age]]&lt;=35),"26-35",AND(HR_Data[[#This Row],[Age]]&gt;=36,HR_Data[[#This Row],[Age]]&lt;=45),"36-45",HR_Data[[#This Row],[Age]]&gt;45,"45+")</f>
        <v>36-45</v>
      </c>
      <c r="AL3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80" spans="1:38"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f>IF(HR_Data[[#This Row],[Attrition]]="Yes",1,0)</f>
        <v>1</v>
      </c>
      <c r="AK380" t="str">
        <f>_xlfn.IFS(AND(HR_Data[[#This Row],[Age]]&gt;=18,HR_Data[[#This Row],[Age]]&lt;=25),"18-25",AND(HR_Data[[#This Row],[Age]]&gt;=26,HR_Data[[#This Row],[Age]]&lt;=35),"26-35",AND(HR_Data[[#This Row],[Age]]&gt;=36,HR_Data[[#This Row],[Age]]&lt;=45),"36-45",HR_Data[[#This Row],[Age]]&gt;45,"45+")</f>
        <v>26-35</v>
      </c>
      <c r="AL3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81" spans="1:38"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f>IF(HR_Data[[#This Row],[Attrition]]="Yes",1,0)</f>
        <v>0</v>
      </c>
      <c r="AK381" t="str">
        <f>_xlfn.IFS(AND(HR_Data[[#This Row],[Age]]&gt;=18,HR_Data[[#This Row],[Age]]&lt;=25),"18-25",AND(HR_Data[[#This Row],[Age]]&gt;=26,HR_Data[[#This Row],[Age]]&lt;=35),"26-35",AND(HR_Data[[#This Row],[Age]]&gt;=36,HR_Data[[#This Row],[Age]]&lt;=45),"36-45",HR_Data[[#This Row],[Age]]&gt;45,"45+")</f>
        <v>45+</v>
      </c>
      <c r="AL3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82" spans="1:38"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f>IF(HR_Data[[#This Row],[Attrition]]="Yes",1,0)</f>
        <v>0</v>
      </c>
      <c r="AK382" t="str">
        <f>_xlfn.IFS(AND(HR_Data[[#This Row],[Age]]&gt;=18,HR_Data[[#This Row],[Age]]&lt;=25),"18-25",AND(HR_Data[[#This Row],[Age]]&gt;=26,HR_Data[[#This Row],[Age]]&lt;=35),"26-35",AND(HR_Data[[#This Row],[Age]]&gt;=36,HR_Data[[#This Row],[Age]]&lt;=45),"36-45",HR_Data[[#This Row],[Age]]&gt;45,"45+")</f>
        <v>18-25</v>
      </c>
      <c r="AL3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83" spans="1:38"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f>IF(HR_Data[[#This Row],[Attrition]]="Yes",1,0)</f>
        <v>0</v>
      </c>
      <c r="AK383" t="str">
        <f>_xlfn.IFS(AND(HR_Data[[#This Row],[Age]]&gt;=18,HR_Data[[#This Row],[Age]]&lt;=25),"18-25",AND(HR_Data[[#This Row],[Age]]&gt;=26,HR_Data[[#This Row],[Age]]&lt;=35),"26-35",AND(HR_Data[[#This Row],[Age]]&gt;=36,HR_Data[[#This Row],[Age]]&lt;=45),"36-45",HR_Data[[#This Row],[Age]]&gt;45,"45+")</f>
        <v>26-35</v>
      </c>
      <c r="AL3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84" spans="1:38"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f>IF(HR_Data[[#This Row],[Attrition]]="Yes",1,0)</f>
        <v>1</v>
      </c>
      <c r="AK384" t="str">
        <f>_xlfn.IFS(AND(HR_Data[[#This Row],[Age]]&gt;=18,HR_Data[[#This Row],[Age]]&lt;=25),"18-25",AND(HR_Data[[#This Row],[Age]]&gt;=26,HR_Data[[#This Row],[Age]]&lt;=35),"26-35",AND(HR_Data[[#This Row],[Age]]&gt;=36,HR_Data[[#This Row],[Age]]&lt;=45),"36-45",HR_Data[[#This Row],[Age]]&gt;45,"45+")</f>
        <v>26-35</v>
      </c>
      <c r="AL3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85" spans="1:38"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f>IF(HR_Data[[#This Row],[Attrition]]="Yes",1,0)</f>
        <v>0</v>
      </c>
      <c r="AK385" t="str">
        <f>_xlfn.IFS(AND(HR_Data[[#This Row],[Age]]&gt;=18,HR_Data[[#This Row],[Age]]&lt;=25),"18-25",AND(HR_Data[[#This Row],[Age]]&gt;=26,HR_Data[[#This Row],[Age]]&lt;=35),"26-35",AND(HR_Data[[#This Row],[Age]]&gt;=36,HR_Data[[#This Row],[Age]]&lt;=45),"36-45",HR_Data[[#This Row],[Age]]&gt;45,"45+")</f>
        <v>18-25</v>
      </c>
      <c r="AL3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86" spans="1:38"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f>IF(HR_Data[[#This Row],[Attrition]]="Yes",1,0)</f>
        <v>0</v>
      </c>
      <c r="AK386" t="str">
        <f>_xlfn.IFS(AND(HR_Data[[#This Row],[Age]]&gt;=18,HR_Data[[#This Row],[Age]]&lt;=25),"18-25",AND(HR_Data[[#This Row],[Age]]&gt;=26,HR_Data[[#This Row],[Age]]&lt;=35),"26-35",AND(HR_Data[[#This Row],[Age]]&gt;=36,HR_Data[[#This Row],[Age]]&lt;=45),"36-45",HR_Data[[#This Row],[Age]]&gt;45,"45+")</f>
        <v>36-45</v>
      </c>
      <c r="AL3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387" spans="1:38"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f>IF(HR_Data[[#This Row],[Attrition]]="Yes",1,0)</f>
        <v>1</v>
      </c>
      <c r="AK387" t="str">
        <f>_xlfn.IFS(AND(HR_Data[[#This Row],[Age]]&gt;=18,HR_Data[[#This Row],[Age]]&lt;=25),"18-25",AND(HR_Data[[#This Row],[Age]]&gt;=26,HR_Data[[#This Row],[Age]]&lt;=35),"26-35",AND(HR_Data[[#This Row],[Age]]&gt;=36,HR_Data[[#This Row],[Age]]&lt;=45),"36-45",HR_Data[[#This Row],[Age]]&gt;45,"45+")</f>
        <v>26-35</v>
      </c>
      <c r="AL3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88" spans="1:38"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f>IF(HR_Data[[#This Row],[Attrition]]="Yes",1,0)</f>
        <v>0</v>
      </c>
      <c r="AK388" t="str">
        <f>_xlfn.IFS(AND(HR_Data[[#This Row],[Age]]&gt;=18,HR_Data[[#This Row],[Age]]&lt;=25),"18-25",AND(HR_Data[[#This Row],[Age]]&gt;=26,HR_Data[[#This Row],[Age]]&lt;=35),"26-35",AND(HR_Data[[#This Row],[Age]]&gt;=36,HR_Data[[#This Row],[Age]]&lt;=45),"36-45",HR_Data[[#This Row],[Age]]&gt;45,"45+")</f>
        <v>36-45</v>
      </c>
      <c r="AL3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89" spans="1:38"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f>IF(HR_Data[[#This Row],[Attrition]]="Yes",1,0)</f>
        <v>0</v>
      </c>
      <c r="AK389" t="str">
        <f>_xlfn.IFS(AND(HR_Data[[#This Row],[Age]]&gt;=18,HR_Data[[#This Row],[Age]]&lt;=25),"18-25",AND(HR_Data[[#This Row],[Age]]&gt;=26,HR_Data[[#This Row],[Age]]&lt;=35),"26-35",AND(HR_Data[[#This Row],[Age]]&gt;=36,HR_Data[[#This Row],[Age]]&lt;=45),"36-45",HR_Data[[#This Row],[Age]]&gt;45,"45+")</f>
        <v>36-45</v>
      </c>
      <c r="AL3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90" spans="1:38"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f>IF(HR_Data[[#This Row],[Attrition]]="Yes",1,0)</f>
        <v>0</v>
      </c>
      <c r="AK390" t="str">
        <f>_xlfn.IFS(AND(HR_Data[[#This Row],[Age]]&gt;=18,HR_Data[[#This Row],[Age]]&lt;=25),"18-25",AND(HR_Data[[#This Row],[Age]]&gt;=26,HR_Data[[#This Row],[Age]]&lt;=35),"26-35",AND(HR_Data[[#This Row],[Age]]&gt;=36,HR_Data[[#This Row],[Age]]&lt;=45),"36-45",HR_Data[[#This Row],[Age]]&gt;45,"45+")</f>
        <v>36-45</v>
      </c>
      <c r="AL3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91" spans="1:38"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f>IF(HR_Data[[#This Row],[Attrition]]="Yes",1,0)</f>
        <v>0</v>
      </c>
      <c r="AK391" t="str">
        <f>_xlfn.IFS(AND(HR_Data[[#This Row],[Age]]&gt;=18,HR_Data[[#This Row],[Age]]&lt;=25),"18-25",AND(HR_Data[[#This Row],[Age]]&gt;=26,HR_Data[[#This Row],[Age]]&lt;=35),"26-35",AND(HR_Data[[#This Row],[Age]]&gt;=36,HR_Data[[#This Row],[Age]]&lt;=45),"36-45",HR_Data[[#This Row],[Age]]&gt;45,"45+")</f>
        <v>36-45</v>
      </c>
      <c r="AL3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92" spans="1:38"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f>IF(HR_Data[[#This Row],[Attrition]]="Yes",1,0)</f>
        <v>0</v>
      </c>
      <c r="AK392" t="str">
        <f>_xlfn.IFS(AND(HR_Data[[#This Row],[Age]]&gt;=18,HR_Data[[#This Row],[Age]]&lt;=25),"18-25",AND(HR_Data[[#This Row],[Age]]&gt;=26,HR_Data[[#This Row],[Age]]&lt;=35),"26-35",AND(HR_Data[[#This Row],[Age]]&gt;=36,HR_Data[[#This Row],[Age]]&lt;=45),"36-45",HR_Data[[#This Row],[Age]]&gt;45,"45+")</f>
        <v>36-45</v>
      </c>
      <c r="AL3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93" spans="1:38"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f>IF(HR_Data[[#This Row],[Attrition]]="Yes",1,0)</f>
        <v>0</v>
      </c>
      <c r="AK393" t="str">
        <f>_xlfn.IFS(AND(HR_Data[[#This Row],[Age]]&gt;=18,HR_Data[[#This Row],[Age]]&lt;=25),"18-25",AND(HR_Data[[#This Row],[Age]]&gt;=26,HR_Data[[#This Row],[Age]]&lt;=35),"26-35",AND(HR_Data[[#This Row],[Age]]&gt;=36,HR_Data[[#This Row],[Age]]&lt;=45),"36-45",HR_Data[[#This Row],[Age]]&gt;45,"45+")</f>
        <v>36-45</v>
      </c>
      <c r="AL3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394" spans="1:38"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f>IF(HR_Data[[#This Row],[Attrition]]="Yes",1,0)</f>
        <v>0</v>
      </c>
      <c r="AK394" t="str">
        <f>_xlfn.IFS(AND(HR_Data[[#This Row],[Age]]&gt;=18,HR_Data[[#This Row],[Age]]&lt;=25),"18-25",AND(HR_Data[[#This Row],[Age]]&gt;=26,HR_Data[[#This Row],[Age]]&lt;=35),"26-35",AND(HR_Data[[#This Row],[Age]]&gt;=36,HR_Data[[#This Row],[Age]]&lt;=45),"36-45",HR_Data[[#This Row],[Age]]&gt;45,"45+")</f>
        <v>45+</v>
      </c>
      <c r="AL3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95" spans="1:38"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f>IF(HR_Data[[#This Row],[Attrition]]="Yes",1,0)</f>
        <v>0</v>
      </c>
      <c r="AK395" t="str">
        <f>_xlfn.IFS(AND(HR_Data[[#This Row],[Age]]&gt;=18,HR_Data[[#This Row],[Age]]&lt;=25),"18-25",AND(HR_Data[[#This Row],[Age]]&gt;=26,HR_Data[[#This Row],[Age]]&lt;=35),"26-35",AND(HR_Data[[#This Row],[Age]]&gt;=36,HR_Data[[#This Row],[Age]]&lt;=45),"36-45",HR_Data[[#This Row],[Age]]&gt;45,"45+")</f>
        <v>26-35</v>
      </c>
      <c r="AL3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96" spans="1:38"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f>IF(HR_Data[[#This Row],[Attrition]]="Yes",1,0)</f>
        <v>0</v>
      </c>
      <c r="AK396" t="str">
        <f>_xlfn.IFS(AND(HR_Data[[#This Row],[Age]]&gt;=18,HR_Data[[#This Row],[Age]]&lt;=25),"18-25",AND(HR_Data[[#This Row],[Age]]&gt;=26,HR_Data[[#This Row],[Age]]&lt;=35),"26-35",AND(HR_Data[[#This Row],[Age]]&gt;=36,HR_Data[[#This Row],[Age]]&lt;=45),"36-45",HR_Data[[#This Row],[Age]]&gt;45,"45+")</f>
        <v>26-35</v>
      </c>
      <c r="AL3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397" spans="1:38"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f>IF(HR_Data[[#This Row],[Attrition]]="Yes",1,0)</f>
        <v>0</v>
      </c>
      <c r="AK397" t="str">
        <f>_xlfn.IFS(AND(HR_Data[[#This Row],[Age]]&gt;=18,HR_Data[[#This Row],[Age]]&lt;=25),"18-25",AND(HR_Data[[#This Row],[Age]]&gt;=26,HR_Data[[#This Row],[Age]]&lt;=35),"26-35",AND(HR_Data[[#This Row],[Age]]&gt;=36,HR_Data[[#This Row],[Age]]&lt;=45),"36-45",HR_Data[[#This Row],[Age]]&gt;45,"45+")</f>
        <v>36-45</v>
      </c>
      <c r="AL3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98" spans="1:38"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f>IF(HR_Data[[#This Row],[Attrition]]="Yes",1,0)</f>
        <v>0</v>
      </c>
      <c r="AK398" t="str">
        <f>_xlfn.IFS(AND(HR_Data[[#This Row],[Age]]&gt;=18,HR_Data[[#This Row],[Age]]&lt;=25),"18-25",AND(HR_Data[[#This Row],[Age]]&gt;=26,HR_Data[[#This Row],[Age]]&lt;=35),"26-35",AND(HR_Data[[#This Row],[Age]]&gt;=36,HR_Data[[#This Row],[Age]]&lt;=45),"36-45",HR_Data[[#This Row],[Age]]&gt;45,"45+")</f>
        <v>36-45</v>
      </c>
      <c r="AL3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399" spans="1:38"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f>IF(HR_Data[[#This Row],[Attrition]]="Yes",1,0)</f>
        <v>0</v>
      </c>
      <c r="AK399" t="str">
        <f>_xlfn.IFS(AND(HR_Data[[#This Row],[Age]]&gt;=18,HR_Data[[#This Row],[Age]]&lt;=25),"18-25",AND(HR_Data[[#This Row],[Age]]&gt;=26,HR_Data[[#This Row],[Age]]&lt;=35),"26-35",AND(HR_Data[[#This Row],[Age]]&gt;=36,HR_Data[[#This Row],[Age]]&lt;=45),"36-45",HR_Data[[#This Row],[Age]]&gt;45,"45+")</f>
        <v>18-25</v>
      </c>
      <c r="AL3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00" spans="1:38"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f>IF(HR_Data[[#This Row],[Attrition]]="Yes",1,0)</f>
        <v>0</v>
      </c>
      <c r="AK400" t="str">
        <f>_xlfn.IFS(AND(HR_Data[[#This Row],[Age]]&gt;=18,HR_Data[[#This Row],[Age]]&lt;=25),"18-25",AND(HR_Data[[#This Row],[Age]]&gt;=26,HR_Data[[#This Row],[Age]]&lt;=35),"26-35",AND(HR_Data[[#This Row],[Age]]&gt;=36,HR_Data[[#This Row],[Age]]&lt;=45),"36-45",HR_Data[[#This Row],[Age]]&gt;45,"45+")</f>
        <v>36-45</v>
      </c>
      <c r="AL4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01" spans="1:38"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f>IF(HR_Data[[#This Row],[Attrition]]="Yes",1,0)</f>
        <v>0</v>
      </c>
      <c r="AK401" t="str">
        <f>_xlfn.IFS(AND(HR_Data[[#This Row],[Age]]&gt;=18,HR_Data[[#This Row],[Age]]&lt;=25),"18-25",AND(HR_Data[[#This Row],[Age]]&gt;=26,HR_Data[[#This Row],[Age]]&lt;=35),"26-35",AND(HR_Data[[#This Row],[Age]]&gt;=36,HR_Data[[#This Row],[Age]]&lt;=45),"36-45",HR_Data[[#This Row],[Age]]&gt;45,"45+")</f>
        <v>26-35</v>
      </c>
      <c r="AL4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02" spans="1:38"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f>IF(HR_Data[[#This Row],[Attrition]]="Yes",1,0)</f>
        <v>0</v>
      </c>
      <c r="AK402" t="str">
        <f>_xlfn.IFS(AND(HR_Data[[#This Row],[Age]]&gt;=18,HR_Data[[#This Row],[Age]]&lt;=25),"18-25",AND(HR_Data[[#This Row],[Age]]&gt;=26,HR_Data[[#This Row],[Age]]&lt;=35),"26-35",AND(HR_Data[[#This Row],[Age]]&gt;=36,HR_Data[[#This Row],[Age]]&lt;=45),"36-45",HR_Data[[#This Row],[Age]]&gt;45,"45+")</f>
        <v>36-45</v>
      </c>
      <c r="AL4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03" spans="1:38"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f>IF(HR_Data[[#This Row],[Attrition]]="Yes",1,0)</f>
        <v>0</v>
      </c>
      <c r="AK403" t="str">
        <f>_xlfn.IFS(AND(HR_Data[[#This Row],[Age]]&gt;=18,HR_Data[[#This Row],[Age]]&lt;=25),"18-25",AND(HR_Data[[#This Row],[Age]]&gt;=26,HR_Data[[#This Row],[Age]]&lt;=35),"26-35",AND(HR_Data[[#This Row],[Age]]&gt;=36,HR_Data[[#This Row],[Age]]&lt;=45),"36-45",HR_Data[[#This Row],[Age]]&gt;45,"45+")</f>
        <v>45+</v>
      </c>
      <c r="AL4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04" spans="1:38"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f>IF(HR_Data[[#This Row],[Attrition]]="Yes",1,0)</f>
        <v>0</v>
      </c>
      <c r="AK404" t="str">
        <f>_xlfn.IFS(AND(HR_Data[[#This Row],[Age]]&gt;=18,HR_Data[[#This Row],[Age]]&lt;=25),"18-25",AND(HR_Data[[#This Row],[Age]]&gt;=26,HR_Data[[#This Row],[Age]]&lt;=35),"26-35",AND(HR_Data[[#This Row],[Age]]&gt;=36,HR_Data[[#This Row],[Age]]&lt;=45),"36-45",HR_Data[[#This Row],[Age]]&gt;45,"45+")</f>
        <v>26-35</v>
      </c>
      <c r="AL4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05" spans="1:38"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f>IF(HR_Data[[#This Row],[Attrition]]="Yes",1,0)</f>
        <v>0</v>
      </c>
      <c r="AK405" t="str">
        <f>_xlfn.IFS(AND(HR_Data[[#This Row],[Age]]&gt;=18,HR_Data[[#This Row],[Age]]&lt;=25),"18-25",AND(HR_Data[[#This Row],[Age]]&gt;=26,HR_Data[[#This Row],[Age]]&lt;=35),"26-35",AND(HR_Data[[#This Row],[Age]]&gt;=36,HR_Data[[#This Row],[Age]]&lt;=45),"36-45",HR_Data[[#This Row],[Age]]&gt;45,"45+")</f>
        <v>36-45</v>
      </c>
      <c r="AL4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06" spans="1:38"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f>IF(HR_Data[[#This Row],[Attrition]]="Yes",1,0)</f>
        <v>0</v>
      </c>
      <c r="AK406" t="str">
        <f>_xlfn.IFS(AND(HR_Data[[#This Row],[Age]]&gt;=18,HR_Data[[#This Row],[Age]]&lt;=25),"18-25",AND(HR_Data[[#This Row],[Age]]&gt;=26,HR_Data[[#This Row],[Age]]&lt;=35),"26-35",AND(HR_Data[[#This Row],[Age]]&gt;=36,HR_Data[[#This Row],[Age]]&lt;=45),"36-45",HR_Data[[#This Row],[Age]]&gt;45,"45+")</f>
        <v>26-35</v>
      </c>
      <c r="AL4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07" spans="1:38"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f>IF(HR_Data[[#This Row],[Attrition]]="Yes",1,0)</f>
        <v>1</v>
      </c>
      <c r="AK407" t="str">
        <f>_xlfn.IFS(AND(HR_Data[[#This Row],[Age]]&gt;=18,HR_Data[[#This Row],[Age]]&lt;=25),"18-25",AND(HR_Data[[#This Row],[Age]]&gt;=26,HR_Data[[#This Row],[Age]]&lt;=35),"26-35",AND(HR_Data[[#This Row],[Age]]&gt;=36,HR_Data[[#This Row],[Age]]&lt;=45),"36-45",HR_Data[[#This Row],[Age]]&gt;45,"45+")</f>
        <v>18-25</v>
      </c>
      <c r="AL4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08" spans="1:38"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f>IF(HR_Data[[#This Row],[Attrition]]="Yes",1,0)</f>
        <v>0</v>
      </c>
      <c r="AK408" t="str">
        <f>_xlfn.IFS(AND(HR_Data[[#This Row],[Age]]&gt;=18,HR_Data[[#This Row],[Age]]&lt;=25),"18-25",AND(HR_Data[[#This Row],[Age]]&gt;=26,HR_Data[[#This Row],[Age]]&lt;=35),"26-35",AND(HR_Data[[#This Row],[Age]]&gt;=36,HR_Data[[#This Row],[Age]]&lt;=45),"36-45",HR_Data[[#This Row],[Age]]&gt;45,"45+")</f>
        <v>45+</v>
      </c>
      <c r="AL4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09" spans="1:38"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f>IF(HR_Data[[#This Row],[Attrition]]="Yes",1,0)</f>
        <v>0</v>
      </c>
      <c r="AK409" t="str">
        <f>_xlfn.IFS(AND(HR_Data[[#This Row],[Age]]&gt;=18,HR_Data[[#This Row],[Age]]&lt;=25),"18-25",AND(HR_Data[[#This Row],[Age]]&gt;=26,HR_Data[[#This Row],[Age]]&lt;=35),"26-35",AND(HR_Data[[#This Row],[Age]]&gt;=36,HR_Data[[#This Row],[Age]]&lt;=45),"36-45",HR_Data[[#This Row],[Age]]&gt;45,"45+")</f>
        <v>36-45</v>
      </c>
      <c r="AL4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10" spans="1:38"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f>IF(HR_Data[[#This Row],[Attrition]]="Yes",1,0)</f>
        <v>0</v>
      </c>
      <c r="AK410" t="str">
        <f>_xlfn.IFS(AND(HR_Data[[#This Row],[Age]]&gt;=18,HR_Data[[#This Row],[Age]]&lt;=25),"18-25",AND(HR_Data[[#This Row],[Age]]&gt;=26,HR_Data[[#This Row],[Age]]&lt;=35),"26-35",AND(HR_Data[[#This Row],[Age]]&gt;=36,HR_Data[[#This Row],[Age]]&lt;=45),"36-45",HR_Data[[#This Row],[Age]]&gt;45,"45+")</f>
        <v>45+</v>
      </c>
      <c r="AL4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11" spans="1:38"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f>IF(HR_Data[[#This Row],[Attrition]]="Yes",1,0)</f>
        <v>0</v>
      </c>
      <c r="AK411" t="str">
        <f>_xlfn.IFS(AND(HR_Data[[#This Row],[Age]]&gt;=18,HR_Data[[#This Row],[Age]]&lt;=25),"18-25",AND(HR_Data[[#This Row],[Age]]&gt;=26,HR_Data[[#This Row],[Age]]&lt;=35),"26-35",AND(HR_Data[[#This Row],[Age]]&gt;=36,HR_Data[[#This Row],[Age]]&lt;=45),"36-45",HR_Data[[#This Row],[Age]]&gt;45,"45+")</f>
        <v>36-45</v>
      </c>
      <c r="AL4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12" spans="1:38"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f>IF(HR_Data[[#This Row],[Attrition]]="Yes",1,0)</f>
        <v>0</v>
      </c>
      <c r="AK412" t="str">
        <f>_xlfn.IFS(AND(HR_Data[[#This Row],[Age]]&gt;=18,HR_Data[[#This Row],[Age]]&lt;=25),"18-25",AND(HR_Data[[#This Row],[Age]]&gt;=26,HR_Data[[#This Row],[Age]]&lt;=35),"26-35",AND(HR_Data[[#This Row],[Age]]&gt;=36,HR_Data[[#This Row],[Age]]&lt;=45),"36-45",HR_Data[[#This Row],[Age]]&gt;45,"45+")</f>
        <v>26-35</v>
      </c>
      <c r="AL4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13" spans="1:38"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f>IF(HR_Data[[#This Row],[Attrition]]="Yes",1,0)</f>
        <v>0</v>
      </c>
      <c r="AK413" t="str">
        <f>_xlfn.IFS(AND(HR_Data[[#This Row],[Age]]&gt;=18,HR_Data[[#This Row],[Age]]&lt;=25),"18-25",AND(HR_Data[[#This Row],[Age]]&gt;=26,HR_Data[[#This Row],[Age]]&lt;=35),"26-35",AND(HR_Data[[#This Row],[Age]]&gt;=36,HR_Data[[#This Row],[Age]]&lt;=45),"36-45",HR_Data[[#This Row],[Age]]&gt;45,"45+")</f>
        <v>45+</v>
      </c>
      <c r="AL4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14" spans="1:38"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f>IF(HR_Data[[#This Row],[Attrition]]="Yes",1,0)</f>
        <v>0</v>
      </c>
      <c r="AK414" t="str">
        <f>_xlfn.IFS(AND(HR_Data[[#This Row],[Age]]&gt;=18,HR_Data[[#This Row],[Age]]&lt;=25),"18-25",AND(HR_Data[[#This Row],[Age]]&gt;=26,HR_Data[[#This Row],[Age]]&lt;=35),"26-35",AND(HR_Data[[#This Row],[Age]]&gt;=36,HR_Data[[#This Row],[Age]]&lt;=45),"36-45",HR_Data[[#This Row],[Age]]&gt;45,"45+")</f>
        <v>45+</v>
      </c>
      <c r="AL4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15" spans="1:38"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f>IF(HR_Data[[#This Row],[Attrition]]="Yes",1,0)</f>
        <v>0</v>
      </c>
      <c r="AK415" t="str">
        <f>_xlfn.IFS(AND(HR_Data[[#This Row],[Age]]&gt;=18,HR_Data[[#This Row],[Age]]&lt;=25),"18-25",AND(HR_Data[[#This Row],[Age]]&gt;=26,HR_Data[[#This Row],[Age]]&lt;=35),"26-35",AND(HR_Data[[#This Row],[Age]]&gt;=36,HR_Data[[#This Row],[Age]]&lt;=45),"36-45",HR_Data[[#This Row],[Age]]&gt;45,"45+")</f>
        <v>36-45</v>
      </c>
      <c r="AL4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16" spans="1:38"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f>IF(HR_Data[[#This Row],[Attrition]]="Yes",1,0)</f>
        <v>1</v>
      </c>
      <c r="AK416" t="str">
        <f>_xlfn.IFS(AND(HR_Data[[#This Row],[Age]]&gt;=18,HR_Data[[#This Row],[Age]]&lt;=25),"18-25",AND(HR_Data[[#This Row],[Age]]&gt;=26,HR_Data[[#This Row],[Age]]&lt;=35),"26-35",AND(HR_Data[[#This Row],[Age]]&gt;=36,HR_Data[[#This Row],[Age]]&lt;=45),"36-45",HR_Data[[#This Row],[Age]]&gt;45,"45+")</f>
        <v>18-25</v>
      </c>
      <c r="AL4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17" spans="1:38"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f>IF(HR_Data[[#This Row],[Attrition]]="Yes",1,0)</f>
        <v>1</v>
      </c>
      <c r="AK417" t="str">
        <f>_xlfn.IFS(AND(HR_Data[[#This Row],[Age]]&gt;=18,HR_Data[[#This Row],[Age]]&lt;=25),"18-25",AND(HR_Data[[#This Row],[Age]]&gt;=26,HR_Data[[#This Row],[Age]]&lt;=35),"26-35",AND(HR_Data[[#This Row],[Age]]&gt;=36,HR_Data[[#This Row],[Age]]&lt;=45),"36-45",HR_Data[[#This Row],[Age]]&gt;45,"45+")</f>
        <v>26-35</v>
      </c>
      <c r="AL4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18" spans="1:38"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f>IF(HR_Data[[#This Row],[Attrition]]="Yes",1,0)</f>
        <v>0</v>
      </c>
      <c r="AK418" t="str">
        <f>_xlfn.IFS(AND(HR_Data[[#This Row],[Age]]&gt;=18,HR_Data[[#This Row],[Age]]&lt;=25),"18-25",AND(HR_Data[[#This Row],[Age]]&gt;=26,HR_Data[[#This Row],[Age]]&lt;=35),"26-35",AND(HR_Data[[#This Row],[Age]]&gt;=36,HR_Data[[#This Row],[Age]]&lt;=45),"36-45",HR_Data[[#This Row],[Age]]&gt;45,"45+")</f>
        <v>36-45</v>
      </c>
      <c r="AL4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19" spans="1:38"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f>IF(HR_Data[[#This Row],[Attrition]]="Yes",1,0)</f>
        <v>0</v>
      </c>
      <c r="AK419" t="str">
        <f>_xlfn.IFS(AND(HR_Data[[#This Row],[Age]]&gt;=18,HR_Data[[#This Row],[Age]]&lt;=25),"18-25",AND(HR_Data[[#This Row],[Age]]&gt;=26,HR_Data[[#This Row],[Age]]&lt;=35),"26-35",AND(HR_Data[[#This Row],[Age]]&gt;=36,HR_Data[[#This Row],[Age]]&lt;=45),"36-45",HR_Data[[#This Row],[Age]]&gt;45,"45+")</f>
        <v>36-45</v>
      </c>
      <c r="AL4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20" spans="1:38"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f>IF(HR_Data[[#This Row],[Attrition]]="Yes",1,0)</f>
        <v>0</v>
      </c>
      <c r="AK420" t="str">
        <f>_xlfn.IFS(AND(HR_Data[[#This Row],[Age]]&gt;=18,HR_Data[[#This Row],[Age]]&lt;=25),"18-25",AND(HR_Data[[#This Row],[Age]]&gt;=26,HR_Data[[#This Row],[Age]]&lt;=35),"26-35",AND(HR_Data[[#This Row],[Age]]&gt;=36,HR_Data[[#This Row],[Age]]&lt;=45),"36-45",HR_Data[[#This Row],[Age]]&gt;45,"45+")</f>
        <v>26-35</v>
      </c>
      <c r="AL4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21" spans="1:38"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f>IF(HR_Data[[#This Row],[Attrition]]="Yes",1,0)</f>
        <v>0</v>
      </c>
      <c r="AK421" t="str">
        <f>_xlfn.IFS(AND(HR_Data[[#This Row],[Age]]&gt;=18,HR_Data[[#This Row],[Age]]&lt;=25),"18-25",AND(HR_Data[[#This Row],[Age]]&gt;=26,HR_Data[[#This Row],[Age]]&lt;=35),"26-35",AND(HR_Data[[#This Row],[Age]]&gt;=36,HR_Data[[#This Row],[Age]]&lt;=45),"36-45",HR_Data[[#This Row],[Age]]&gt;45,"45+")</f>
        <v>26-35</v>
      </c>
      <c r="AL4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22" spans="1:38"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f>IF(HR_Data[[#This Row],[Attrition]]="Yes",1,0)</f>
        <v>0</v>
      </c>
      <c r="AK422" t="str">
        <f>_xlfn.IFS(AND(HR_Data[[#This Row],[Age]]&gt;=18,HR_Data[[#This Row],[Age]]&lt;=25),"18-25",AND(HR_Data[[#This Row],[Age]]&gt;=26,HR_Data[[#This Row],[Age]]&lt;=35),"26-35",AND(HR_Data[[#This Row],[Age]]&gt;=36,HR_Data[[#This Row],[Age]]&lt;=45),"36-45",HR_Data[[#This Row],[Age]]&gt;45,"45+")</f>
        <v>26-35</v>
      </c>
      <c r="AL4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23" spans="1:38"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f>IF(HR_Data[[#This Row],[Attrition]]="Yes",1,0)</f>
        <v>1</v>
      </c>
      <c r="AK423" t="str">
        <f>_xlfn.IFS(AND(HR_Data[[#This Row],[Age]]&gt;=18,HR_Data[[#This Row],[Age]]&lt;=25),"18-25",AND(HR_Data[[#This Row],[Age]]&gt;=26,HR_Data[[#This Row],[Age]]&lt;=35),"26-35",AND(HR_Data[[#This Row],[Age]]&gt;=36,HR_Data[[#This Row],[Age]]&lt;=45),"36-45",HR_Data[[#This Row],[Age]]&gt;45,"45+")</f>
        <v>26-35</v>
      </c>
      <c r="AL4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24" spans="1:38"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f>IF(HR_Data[[#This Row],[Attrition]]="Yes",1,0)</f>
        <v>1</v>
      </c>
      <c r="AK424" t="str">
        <f>_xlfn.IFS(AND(HR_Data[[#This Row],[Age]]&gt;=18,HR_Data[[#This Row],[Age]]&lt;=25),"18-25",AND(HR_Data[[#This Row],[Age]]&gt;=26,HR_Data[[#This Row],[Age]]&lt;=35),"26-35",AND(HR_Data[[#This Row],[Age]]&gt;=36,HR_Data[[#This Row],[Age]]&lt;=45),"36-45",HR_Data[[#This Row],[Age]]&gt;45,"45+")</f>
        <v>18-25</v>
      </c>
      <c r="AL4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25" spans="1:38"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f>IF(HR_Data[[#This Row],[Attrition]]="Yes",1,0)</f>
        <v>0</v>
      </c>
      <c r="AK425" t="str">
        <f>_xlfn.IFS(AND(HR_Data[[#This Row],[Age]]&gt;=18,HR_Data[[#This Row],[Age]]&lt;=25),"18-25",AND(HR_Data[[#This Row],[Age]]&gt;=26,HR_Data[[#This Row],[Age]]&lt;=35),"26-35",AND(HR_Data[[#This Row],[Age]]&gt;=36,HR_Data[[#This Row],[Age]]&lt;=45),"36-45",HR_Data[[#This Row],[Age]]&gt;45,"45+")</f>
        <v>26-35</v>
      </c>
      <c r="AL4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26" spans="1:38"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f>IF(HR_Data[[#This Row],[Attrition]]="Yes",1,0)</f>
        <v>0</v>
      </c>
      <c r="AK426" t="str">
        <f>_xlfn.IFS(AND(HR_Data[[#This Row],[Age]]&gt;=18,HR_Data[[#This Row],[Age]]&lt;=25),"18-25",AND(HR_Data[[#This Row],[Age]]&gt;=26,HR_Data[[#This Row],[Age]]&lt;=35),"26-35",AND(HR_Data[[#This Row],[Age]]&gt;=36,HR_Data[[#This Row],[Age]]&lt;=45),"36-45",HR_Data[[#This Row],[Age]]&gt;45,"45+")</f>
        <v>45+</v>
      </c>
      <c r="AL4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27" spans="1:38"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f>IF(HR_Data[[#This Row],[Attrition]]="Yes",1,0)</f>
        <v>0</v>
      </c>
      <c r="AK427" t="str">
        <f>_xlfn.IFS(AND(HR_Data[[#This Row],[Age]]&gt;=18,HR_Data[[#This Row],[Age]]&lt;=25),"18-25",AND(HR_Data[[#This Row],[Age]]&gt;=26,HR_Data[[#This Row],[Age]]&lt;=35),"26-35",AND(HR_Data[[#This Row],[Age]]&gt;=36,HR_Data[[#This Row],[Age]]&lt;=45),"36-45",HR_Data[[#This Row],[Age]]&gt;45,"45+")</f>
        <v>45+</v>
      </c>
      <c r="AL4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28" spans="1:38"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f>IF(HR_Data[[#This Row],[Attrition]]="Yes",1,0)</f>
        <v>0</v>
      </c>
      <c r="AK428" t="str">
        <f>_xlfn.IFS(AND(HR_Data[[#This Row],[Age]]&gt;=18,HR_Data[[#This Row],[Age]]&lt;=25),"18-25",AND(HR_Data[[#This Row],[Age]]&gt;=26,HR_Data[[#This Row],[Age]]&lt;=35),"26-35",AND(HR_Data[[#This Row],[Age]]&gt;=36,HR_Data[[#This Row],[Age]]&lt;=45),"36-45",HR_Data[[#This Row],[Age]]&gt;45,"45+")</f>
        <v>26-35</v>
      </c>
      <c r="AL4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29" spans="1:38"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f>IF(HR_Data[[#This Row],[Attrition]]="Yes",1,0)</f>
        <v>0</v>
      </c>
      <c r="AK429" t="str">
        <f>_xlfn.IFS(AND(HR_Data[[#This Row],[Age]]&gt;=18,HR_Data[[#This Row],[Age]]&lt;=25),"18-25",AND(HR_Data[[#This Row],[Age]]&gt;=26,HR_Data[[#This Row],[Age]]&lt;=35),"26-35",AND(HR_Data[[#This Row],[Age]]&gt;=36,HR_Data[[#This Row],[Age]]&lt;=45),"36-45",HR_Data[[#This Row],[Age]]&gt;45,"45+")</f>
        <v>45+</v>
      </c>
      <c r="AL4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30" spans="1:38"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f>IF(HR_Data[[#This Row],[Attrition]]="Yes",1,0)</f>
        <v>0</v>
      </c>
      <c r="AK430" t="str">
        <f>_xlfn.IFS(AND(HR_Data[[#This Row],[Age]]&gt;=18,HR_Data[[#This Row],[Age]]&lt;=25),"18-25",AND(HR_Data[[#This Row],[Age]]&gt;=26,HR_Data[[#This Row],[Age]]&lt;=35),"26-35",AND(HR_Data[[#This Row],[Age]]&gt;=36,HR_Data[[#This Row],[Age]]&lt;=45),"36-45",HR_Data[[#This Row],[Age]]&gt;45,"45+")</f>
        <v>45+</v>
      </c>
      <c r="AL4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31" spans="1:38"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f>IF(HR_Data[[#This Row],[Attrition]]="Yes",1,0)</f>
        <v>0</v>
      </c>
      <c r="AK431" t="str">
        <f>_xlfn.IFS(AND(HR_Data[[#This Row],[Age]]&gt;=18,HR_Data[[#This Row],[Age]]&lt;=25),"18-25",AND(HR_Data[[#This Row],[Age]]&gt;=26,HR_Data[[#This Row],[Age]]&lt;=35),"26-35",AND(HR_Data[[#This Row],[Age]]&gt;=36,HR_Data[[#This Row],[Age]]&lt;=45),"36-45",HR_Data[[#This Row],[Age]]&gt;45,"45+")</f>
        <v>45+</v>
      </c>
      <c r="AL4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32" spans="1:38"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f>IF(HR_Data[[#This Row],[Attrition]]="Yes",1,0)</f>
        <v>0</v>
      </c>
      <c r="AK432" t="str">
        <f>_xlfn.IFS(AND(HR_Data[[#This Row],[Age]]&gt;=18,HR_Data[[#This Row],[Age]]&lt;=25),"18-25",AND(HR_Data[[#This Row],[Age]]&gt;=26,HR_Data[[#This Row],[Age]]&lt;=35),"26-35",AND(HR_Data[[#This Row],[Age]]&gt;=36,HR_Data[[#This Row],[Age]]&lt;=45),"36-45",HR_Data[[#This Row],[Age]]&gt;45,"45+")</f>
        <v>26-35</v>
      </c>
      <c r="AL4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33" spans="1:38"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f>IF(HR_Data[[#This Row],[Attrition]]="Yes",1,0)</f>
        <v>0</v>
      </c>
      <c r="AK433" t="str">
        <f>_xlfn.IFS(AND(HR_Data[[#This Row],[Age]]&gt;=18,HR_Data[[#This Row],[Age]]&lt;=25),"18-25",AND(HR_Data[[#This Row],[Age]]&gt;=26,HR_Data[[#This Row],[Age]]&lt;=35),"26-35",AND(HR_Data[[#This Row],[Age]]&gt;=36,HR_Data[[#This Row],[Age]]&lt;=45),"36-45",HR_Data[[#This Row],[Age]]&gt;45,"45+")</f>
        <v>45+</v>
      </c>
      <c r="AL4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34" spans="1:38"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f>IF(HR_Data[[#This Row],[Attrition]]="Yes",1,0)</f>
        <v>0</v>
      </c>
      <c r="AK434" t="str">
        <f>_xlfn.IFS(AND(HR_Data[[#This Row],[Age]]&gt;=18,HR_Data[[#This Row],[Age]]&lt;=25),"18-25",AND(HR_Data[[#This Row],[Age]]&gt;=26,HR_Data[[#This Row],[Age]]&lt;=35),"26-35",AND(HR_Data[[#This Row],[Age]]&gt;=36,HR_Data[[#This Row],[Age]]&lt;=45),"36-45",HR_Data[[#This Row],[Age]]&gt;45,"45+")</f>
        <v>26-35</v>
      </c>
      <c r="AL4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35" spans="1:38"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f>IF(HR_Data[[#This Row],[Attrition]]="Yes",1,0)</f>
        <v>0</v>
      </c>
      <c r="AK435" t="str">
        <f>_xlfn.IFS(AND(HR_Data[[#This Row],[Age]]&gt;=18,HR_Data[[#This Row],[Age]]&lt;=25),"18-25",AND(HR_Data[[#This Row],[Age]]&gt;=26,HR_Data[[#This Row],[Age]]&lt;=35),"26-35",AND(HR_Data[[#This Row],[Age]]&gt;=36,HR_Data[[#This Row],[Age]]&lt;=45),"36-45",HR_Data[[#This Row],[Age]]&gt;45,"45+")</f>
        <v>45+</v>
      </c>
      <c r="AL4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36" spans="1:38"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f>IF(HR_Data[[#This Row],[Attrition]]="Yes",1,0)</f>
        <v>0</v>
      </c>
      <c r="AK436" t="str">
        <f>_xlfn.IFS(AND(HR_Data[[#This Row],[Age]]&gt;=18,HR_Data[[#This Row],[Age]]&lt;=25),"18-25",AND(HR_Data[[#This Row],[Age]]&gt;=26,HR_Data[[#This Row],[Age]]&lt;=35),"26-35",AND(HR_Data[[#This Row],[Age]]&gt;=36,HR_Data[[#This Row],[Age]]&lt;=45),"36-45",HR_Data[[#This Row],[Age]]&gt;45,"45+")</f>
        <v>26-35</v>
      </c>
      <c r="AL4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37" spans="1:38"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f>IF(HR_Data[[#This Row],[Attrition]]="Yes",1,0)</f>
        <v>1</v>
      </c>
      <c r="AK437" t="str">
        <f>_xlfn.IFS(AND(HR_Data[[#This Row],[Age]]&gt;=18,HR_Data[[#This Row],[Age]]&lt;=25),"18-25",AND(HR_Data[[#This Row],[Age]]&gt;=26,HR_Data[[#This Row],[Age]]&lt;=35),"26-35",AND(HR_Data[[#This Row],[Age]]&gt;=36,HR_Data[[#This Row],[Age]]&lt;=45),"36-45",HR_Data[[#This Row],[Age]]&gt;45,"45+")</f>
        <v>26-35</v>
      </c>
      <c r="AL4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38" spans="1:38"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f>IF(HR_Data[[#This Row],[Attrition]]="Yes",1,0)</f>
        <v>1</v>
      </c>
      <c r="AK438" t="str">
        <f>_xlfn.IFS(AND(HR_Data[[#This Row],[Age]]&gt;=18,HR_Data[[#This Row],[Age]]&lt;=25),"18-25",AND(HR_Data[[#This Row],[Age]]&gt;=26,HR_Data[[#This Row],[Age]]&lt;=35),"26-35",AND(HR_Data[[#This Row],[Age]]&gt;=36,HR_Data[[#This Row],[Age]]&lt;=45),"36-45",HR_Data[[#This Row],[Age]]&gt;45,"45+")</f>
        <v>26-35</v>
      </c>
      <c r="AL4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39" spans="1:38"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f>IF(HR_Data[[#This Row],[Attrition]]="Yes",1,0)</f>
        <v>0</v>
      </c>
      <c r="AK439" t="str">
        <f>_xlfn.IFS(AND(HR_Data[[#This Row],[Age]]&gt;=18,HR_Data[[#This Row],[Age]]&lt;=25),"18-25",AND(HR_Data[[#This Row],[Age]]&gt;=26,HR_Data[[#This Row],[Age]]&lt;=35),"26-35",AND(HR_Data[[#This Row],[Age]]&gt;=36,HR_Data[[#This Row],[Age]]&lt;=45),"36-45",HR_Data[[#This Row],[Age]]&gt;45,"45+")</f>
        <v>26-35</v>
      </c>
      <c r="AL4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40" spans="1:38"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f>IF(HR_Data[[#This Row],[Attrition]]="Yes",1,0)</f>
        <v>0</v>
      </c>
      <c r="AK440" t="str">
        <f>_xlfn.IFS(AND(HR_Data[[#This Row],[Age]]&gt;=18,HR_Data[[#This Row],[Age]]&lt;=25),"18-25",AND(HR_Data[[#This Row],[Age]]&gt;=26,HR_Data[[#This Row],[Age]]&lt;=35),"26-35",AND(HR_Data[[#This Row],[Age]]&gt;=36,HR_Data[[#This Row],[Age]]&lt;=45),"36-45",HR_Data[[#This Row],[Age]]&gt;45,"45+")</f>
        <v>26-35</v>
      </c>
      <c r="AL4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41" spans="1:38"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f>IF(HR_Data[[#This Row],[Attrition]]="Yes",1,0)</f>
        <v>1</v>
      </c>
      <c r="AK441" t="str">
        <f>_xlfn.IFS(AND(HR_Data[[#This Row],[Age]]&gt;=18,HR_Data[[#This Row],[Age]]&lt;=25),"18-25",AND(HR_Data[[#This Row],[Age]]&gt;=26,HR_Data[[#This Row],[Age]]&lt;=35),"26-35",AND(HR_Data[[#This Row],[Age]]&gt;=36,HR_Data[[#This Row],[Age]]&lt;=45),"36-45",HR_Data[[#This Row],[Age]]&gt;45,"45+")</f>
        <v>26-35</v>
      </c>
      <c r="AL4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42" spans="1:38"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f>IF(HR_Data[[#This Row],[Attrition]]="Yes",1,0)</f>
        <v>1</v>
      </c>
      <c r="AK442" t="str">
        <f>_xlfn.IFS(AND(HR_Data[[#This Row],[Age]]&gt;=18,HR_Data[[#This Row],[Age]]&lt;=25),"18-25",AND(HR_Data[[#This Row],[Age]]&gt;=26,HR_Data[[#This Row],[Age]]&lt;=35),"26-35",AND(HR_Data[[#This Row],[Age]]&gt;=36,HR_Data[[#This Row],[Age]]&lt;=45),"36-45",HR_Data[[#This Row],[Age]]&gt;45,"45+")</f>
        <v>26-35</v>
      </c>
      <c r="AL4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43" spans="1:38"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f>IF(HR_Data[[#This Row],[Attrition]]="Yes",1,0)</f>
        <v>0</v>
      </c>
      <c r="AK443" t="str">
        <f>_xlfn.IFS(AND(HR_Data[[#This Row],[Age]]&gt;=18,HR_Data[[#This Row],[Age]]&lt;=25),"18-25",AND(HR_Data[[#This Row],[Age]]&gt;=26,HR_Data[[#This Row],[Age]]&lt;=35),"26-35",AND(HR_Data[[#This Row],[Age]]&gt;=36,HR_Data[[#This Row],[Age]]&lt;=45),"36-45",HR_Data[[#This Row],[Age]]&gt;45,"45+")</f>
        <v>36-45</v>
      </c>
      <c r="AL4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44" spans="1:38"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f>IF(HR_Data[[#This Row],[Attrition]]="Yes",1,0)</f>
        <v>0</v>
      </c>
      <c r="AK444" t="str">
        <f>_xlfn.IFS(AND(HR_Data[[#This Row],[Age]]&gt;=18,HR_Data[[#This Row],[Age]]&lt;=25),"18-25",AND(HR_Data[[#This Row],[Age]]&gt;=26,HR_Data[[#This Row],[Age]]&lt;=35),"26-35",AND(HR_Data[[#This Row],[Age]]&gt;=36,HR_Data[[#This Row],[Age]]&lt;=45),"36-45",HR_Data[[#This Row],[Age]]&gt;45,"45+")</f>
        <v>36-45</v>
      </c>
      <c r="AL4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45" spans="1:38"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f>IF(HR_Data[[#This Row],[Attrition]]="Yes",1,0)</f>
        <v>1</v>
      </c>
      <c r="AK445" t="str">
        <f>_xlfn.IFS(AND(HR_Data[[#This Row],[Age]]&gt;=18,HR_Data[[#This Row],[Age]]&lt;=25),"18-25",AND(HR_Data[[#This Row],[Age]]&gt;=26,HR_Data[[#This Row],[Age]]&lt;=35),"26-35",AND(HR_Data[[#This Row],[Age]]&gt;=36,HR_Data[[#This Row],[Age]]&lt;=45),"36-45",HR_Data[[#This Row],[Age]]&gt;45,"45+")</f>
        <v>18-25</v>
      </c>
      <c r="AL4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46" spans="1:38"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f>IF(HR_Data[[#This Row],[Attrition]]="Yes",1,0)</f>
        <v>0</v>
      </c>
      <c r="AK446" t="str">
        <f>_xlfn.IFS(AND(HR_Data[[#This Row],[Age]]&gt;=18,HR_Data[[#This Row],[Age]]&lt;=25),"18-25",AND(HR_Data[[#This Row],[Age]]&gt;=26,HR_Data[[#This Row],[Age]]&lt;=35),"26-35",AND(HR_Data[[#This Row],[Age]]&gt;=36,HR_Data[[#This Row],[Age]]&lt;=45),"36-45",HR_Data[[#This Row],[Age]]&gt;45,"45+")</f>
        <v>45+</v>
      </c>
      <c r="AL4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47" spans="1:38"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f>IF(HR_Data[[#This Row],[Attrition]]="Yes",1,0)</f>
        <v>0</v>
      </c>
      <c r="AK447" t="str">
        <f>_xlfn.IFS(AND(HR_Data[[#This Row],[Age]]&gt;=18,HR_Data[[#This Row],[Age]]&lt;=25),"18-25",AND(HR_Data[[#This Row],[Age]]&gt;=26,HR_Data[[#This Row],[Age]]&lt;=35),"26-35",AND(HR_Data[[#This Row],[Age]]&gt;=36,HR_Data[[#This Row],[Age]]&lt;=45),"36-45",HR_Data[[#This Row],[Age]]&gt;45,"45+")</f>
        <v>45+</v>
      </c>
      <c r="AL4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48" spans="1:38"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f>IF(HR_Data[[#This Row],[Attrition]]="Yes",1,0)</f>
        <v>0</v>
      </c>
      <c r="AK448" t="str">
        <f>_xlfn.IFS(AND(HR_Data[[#This Row],[Age]]&gt;=18,HR_Data[[#This Row],[Age]]&lt;=25),"18-25",AND(HR_Data[[#This Row],[Age]]&gt;=26,HR_Data[[#This Row],[Age]]&lt;=35),"26-35",AND(HR_Data[[#This Row],[Age]]&gt;=36,HR_Data[[#This Row],[Age]]&lt;=45),"36-45",HR_Data[[#This Row],[Age]]&gt;45,"45+")</f>
        <v>36-45</v>
      </c>
      <c r="AL4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49" spans="1:38"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f>IF(HR_Data[[#This Row],[Attrition]]="Yes",1,0)</f>
        <v>0</v>
      </c>
      <c r="AK449" t="str">
        <f>_xlfn.IFS(AND(HR_Data[[#This Row],[Age]]&gt;=18,HR_Data[[#This Row],[Age]]&lt;=25),"18-25",AND(HR_Data[[#This Row],[Age]]&gt;=26,HR_Data[[#This Row],[Age]]&lt;=35),"26-35",AND(HR_Data[[#This Row],[Age]]&gt;=36,HR_Data[[#This Row],[Age]]&lt;=45),"36-45",HR_Data[[#This Row],[Age]]&gt;45,"45+")</f>
        <v>26-35</v>
      </c>
      <c r="AL4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50" spans="1:38"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f>IF(HR_Data[[#This Row],[Attrition]]="Yes",1,0)</f>
        <v>0</v>
      </c>
      <c r="AK450" t="str">
        <f>_xlfn.IFS(AND(HR_Data[[#This Row],[Age]]&gt;=18,HR_Data[[#This Row],[Age]]&lt;=25),"18-25",AND(HR_Data[[#This Row],[Age]]&gt;=26,HR_Data[[#This Row],[Age]]&lt;=35),"26-35",AND(HR_Data[[#This Row],[Age]]&gt;=36,HR_Data[[#This Row],[Age]]&lt;=45),"36-45",HR_Data[[#This Row],[Age]]&gt;45,"45+")</f>
        <v>36-45</v>
      </c>
      <c r="AL4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51" spans="1:38"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f>IF(HR_Data[[#This Row],[Attrition]]="Yes",1,0)</f>
        <v>0</v>
      </c>
      <c r="AK451" t="str">
        <f>_xlfn.IFS(AND(HR_Data[[#This Row],[Age]]&gt;=18,HR_Data[[#This Row],[Age]]&lt;=25),"18-25",AND(HR_Data[[#This Row],[Age]]&gt;=26,HR_Data[[#This Row],[Age]]&lt;=35),"26-35",AND(HR_Data[[#This Row],[Age]]&gt;=36,HR_Data[[#This Row],[Age]]&lt;=45),"36-45",HR_Data[[#This Row],[Age]]&gt;45,"45+")</f>
        <v>36-45</v>
      </c>
      <c r="AL4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52" spans="1:38"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f>IF(HR_Data[[#This Row],[Attrition]]="Yes",1,0)</f>
        <v>0</v>
      </c>
      <c r="AK452" t="str">
        <f>_xlfn.IFS(AND(HR_Data[[#This Row],[Age]]&gt;=18,HR_Data[[#This Row],[Age]]&lt;=25),"18-25",AND(HR_Data[[#This Row],[Age]]&gt;=26,HR_Data[[#This Row],[Age]]&lt;=35),"26-35",AND(HR_Data[[#This Row],[Age]]&gt;=36,HR_Data[[#This Row],[Age]]&lt;=45),"36-45",HR_Data[[#This Row],[Age]]&gt;45,"45+")</f>
        <v>26-35</v>
      </c>
      <c r="AL4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53" spans="1:38"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f>IF(HR_Data[[#This Row],[Attrition]]="Yes",1,0)</f>
        <v>0</v>
      </c>
      <c r="AK453" t="str">
        <f>_xlfn.IFS(AND(HR_Data[[#This Row],[Age]]&gt;=18,HR_Data[[#This Row],[Age]]&lt;=25),"18-25",AND(HR_Data[[#This Row],[Age]]&gt;=26,HR_Data[[#This Row],[Age]]&lt;=35),"26-35",AND(HR_Data[[#This Row],[Age]]&gt;=36,HR_Data[[#This Row],[Age]]&lt;=45),"36-45",HR_Data[[#This Row],[Age]]&gt;45,"45+")</f>
        <v>36-45</v>
      </c>
      <c r="AL4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54" spans="1:38"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f>IF(HR_Data[[#This Row],[Attrition]]="Yes",1,0)</f>
        <v>0</v>
      </c>
      <c r="AK454" t="str">
        <f>_xlfn.IFS(AND(HR_Data[[#This Row],[Age]]&gt;=18,HR_Data[[#This Row],[Age]]&lt;=25),"18-25",AND(HR_Data[[#This Row],[Age]]&gt;=26,HR_Data[[#This Row],[Age]]&lt;=35),"26-35",AND(HR_Data[[#This Row],[Age]]&gt;=36,HR_Data[[#This Row],[Age]]&lt;=45),"36-45",HR_Data[[#This Row],[Age]]&gt;45,"45+")</f>
        <v>36-45</v>
      </c>
      <c r="AL4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55" spans="1:38"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f>IF(HR_Data[[#This Row],[Attrition]]="Yes",1,0)</f>
        <v>1</v>
      </c>
      <c r="AK455" t="str">
        <f>_xlfn.IFS(AND(HR_Data[[#This Row],[Age]]&gt;=18,HR_Data[[#This Row],[Age]]&lt;=25),"18-25",AND(HR_Data[[#This Row],[Age]]&gt;=26,HR_Data[[#This Row],[Age]]&lt;=35),"26-35",AND(HR_Data[[#This Row],[Age]]&gt;=36,HR_Data[[#This Row],[Age]]&lt;=45),"36-45",HR_Data[[#This Row],[Age]]&gt;45,"45+")</f>
        <v>26-35</v>
      </c>
      <c r="AL4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56" spans="1:38"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f>IF(HR_Data[[#This Row],[Attrition]]="Yes",1,0)</f>
        <v>0</v>
      </c>
      <c r="AK456" t="str">
        <f>_xlfn.IFS(AND(HR_Data[[#This Row],[Age]]&gt;=18,HR_Data[[#This Row],[Age]]&lt;=25),"18-25",AND(HR_Data[[#This Row],[Age]]&gt;=26,HR_Data[[#This Row],[Age]]&lt;=35),"26-35",AND(HR_Data[[#This Row],[Age]]&gt;=36,HR_Data[[#This Row],[Age]]&lt;=45),"36-45",HR_Data[[#This Row],[Age]]&gt;45,"45+")</f>
        <v>26-35</v>
      </c>
      <c r="AL4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57" spans="1:38"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f>IF(HR_Data[[#This Row],[Attrition]]="Yes",1,0)</f>
        <v>0</v>
      </c>
      <c r="AK457" t="str">
        <f>_xlfn.IFS(AND(HR_Data[[#This Row],[Age]]&gt;=18,HR_Data[[#This Row],[Age]]&lt;=25),"18-25",AND(HR_Data[[#This Row],[Age]]&gt;=26,HR_Data[[#This Row],[Age]]&lt;=35),"26-35",AND(HR_Data[[#This Row],[Age]]&gt;=36,HR_Data[[#This Row],[Age]]&lt;=45),"36-45",HR_Data[[#This Row],[Age]]&gt;45,"45+")</f>
        <v>26-35</v>
      </c>
      <c r="AL4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58" spans="1:38"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f>IF(HR_Data[[#This Row],[Attrition]]="Yes",1,0)</f>
        <v>0</v>
      </c>
      <c r="AK458" t="str">
        <f>_xlfn.IFS(AND(HR_Data[[#This Row],[Age]]&gt;=18,HR_Data[[#This Row],[Age]]&lt;=25),"18-25",AND(HR_Data[[#This Row],[Age]]&gt;=26,HR_Data[[#This Row],[Age]]&lt;=35),"26-35",AND(HR_Data[[#This Row],[Age]]&gt;=36,HR_Data[[#This Row],[Age]]&lt;=45),"36-45",HR_Data[[#This Row],[Age]]&gt;45,"45+")</f>
        <v>26-35</v>
      </c>
      <c r="AL4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59" spans="1:38"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f>IF(HR_Data[[#This Row],[Attrition]]="Yes",1,0)</f>
        <v>1</v>
      </c>
      <c r="AK459" t="str">
        <f>_xlfn.IFS(AND(HR_Data[[#This Row],[Age]]&gt;=18,HR_Data[[#This Row],[Age]]&lt;=25),"18-25",AND(HR_Data[[#This Row],[Age]]&gt;=26,HR_Data[[#This Row],[Age]]&lt;=35),"26-35",AND(HR_Data[[#This Row],[Age]]&gt;=36,HR_Data[[#This Row],[Age]]&lt;=45),"36-45",HR_Data[[#This Row],[Age]]&gt;45,"45+")</f>
        <v>18-25</v>
      </c>
      <c r="AL4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60" spans="1:38"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f>IF(HR_Data[[#This Row],[Attrition]]="Yes",1,0)</f>
        <v>0</v>
      </c>
      <c r="AK460" t="str">
        <f>_xlfn.IFS(AND(HR_Data[[#This Row],[Age]]&gt;=18,HR_Data[[#This Row],[Age]]&lt;=25),"18-25",AND(HR_Data[[#This Row],[Age]]&gt;=26,HR_Data[[#This Row],[Age]]&lt;=35),"26-35",AND(HR_Data[[#This Row],[Age]]&gt;=36,HR_Data[[#This Row],[Age]]&lt;=45),"36-45",HR_Data[[#This Row],[Age]]&gt;45,"45+")</f>
        <v>36-45</v>
      </c>
      <c r="AL4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61" spans="1:38"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f>IF(HR_Data[[#This Row],[Attrition]]="Yes",1,0)</f>
        <v>0</v>
      </c>
      <c r="AK461" t="str">
        <f>_xlfn.IFS(AND(HR_Data[[#This Row],[Age]]&gt;=18,HR_Data[[#This Row],[Age]]&lt;=25),"18-25",AND(HR_Data[[#This Row],[Age]]&gt;=26,HR_Data[[#This Row],[Age]]&lt;=35),"26-35",AND(HR_Data[[#This Row],[Age]]&gt;=36,HR_Data[[#This Row],[Age]]&lt;=45),"36-45",HR_Data[[#This Row],[Age]]&gt;45,"45+")</f>
        <v>36-45</v>
      </c>
      <c r="AL4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62" spans="1:38"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f>IF(HR_Data[[#This Row],[Attrition]]="Yes",1,0)</f>
        <v>0</v>
      </c>
      <c r="AK462" t="str">
        <f>_xlfn.IFS(AND(HR_Data[[#This Row],[Age]]&gt;=18,HR_Data[[#This Row],[Age]]&lt;=25),"18-25",AND(HR_Data[[#This Row],[Age]]&gt;=26,HR_Data[[#This Row],[Age]]&lt;=35),"26-35",AND(HR_Data[[#This Row],[Age]]&gt;=36,HR_Data[[#This Row],[Age]]&lt;=45),"36-45",HR_Data[[#This Row],[Age]]&gt;45,"45+")</f>
        <v>26-35</v>
      </c>
      <c r="AL4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63" spans="1:38"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f>IF(HR_Data[[#This Row],[Attrition]]="Yes",1,0)</f>
        <v>0</v>
      </c>
      <c r="AK463" t="str">
        <f>_xlfn.IFS(AND(HR_Data[[#This Row],[Age]]&gt;=18,HR_Data[[#This Row],[Age]]&lt;=25),"18-25",AND(HR_Data[[#This Row],[Age]]&gt;=26,HR_Data[[#This Row],[Age]]&lt;=35),"26-35",AND(HR_Data[[#This Row],[Age]]&gt;=36,HR_Data[[#This Row],[Age]]&lt;=45),"36-45",HR_Data[[#This Row],[Age]]&gt;45,"45+")</f>
        <v>26-35</v>
      </c>
      <c r="AL4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64" spans="1:38"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f>IF(HR_Data[[#This Row],[Attrition]]="Yes",1,0)</f>
        <v>0</v>
      </c>
      <c r="AK464" t="str">
        <f>_xlfn.IFS(AND(HR_Data[[#This Row],[Age]]&gt;=18,HR_Data[[#This Row],[Age]]&lt;=25),"18-25",AND(HR_Data[[#This Row],[Age]]&gt;=26,HR_Data[[#This Row],[Age]]&lt;=35),"26-35",AND(HR_Data[[#This Row],[Age]]&gt;=36,HR_Data[[#This Row],[Age]]&lt;=45),"36-45",HR_Data[[#This Row],[Age]]&gt;45,"45+")</f>
        <v>26-35</v>
      </c>
      <c r="AL4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65" spans="1:38"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f>IF(HR_Data[[#This Row],[Attrition]]="Yes",1,0)</f>
        <v>1</v>
      </c>
      <c r="AK465" t="str">
        <f>_xlfn.IFS(AND(HR_Data[[#This Row],[Age]]&gt;=18,HR_Data[[#This Row],[Age]]&lt;=25),"18-25",AND(HR_Data[[#This Row],[Age]]&gt;=26,HR_Data[[#This Row],[Age]]&lt;=35),"26-35",AND(HR_Data[[#This Row],[Age]]&gt;=36,HR_Data[[#This Row],[Age]]&lt;=45),"36-45",HR_Data[[#This Row],[Age]]&gt;45,"45+")</f>
        <v>26-35</v>
      </c>
      <c r="AL4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66" spans="1:38"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f>IF(HR_Data[[#This Row],[Attrition]]="Yes",1,0)</f>
        <v>0</v>
      </c>
      <c r="AK466" t="str">
        <f>_xlfn.IFS(AND(HR_Data[[#This Row],[Age]]&gt;=18,HR_Data[[#This Row],[Age]]&lt;=25),"18-25",AND(HR_Data[[#This Row],[Age]]&gt;=26,HR_Data[[#This Row],[Age]]&lt;=35),"26-35",AND(HR_Data[[#This Row],[Age]]&gt;=36,HR_Data[[#This Row],[Age]]&lt;=45),"36-45",HR_Data[[#This Row],[Age]]&gt;45,"45+")</f>
        <v>36-45</v>
      </c>
      <c r="AL4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67" spans="1:38"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f>IF(HR_Data[[#This Row],[Attrition]]="Yes",1,0)</f>
        <v>0</v>
      </c>
      <c r="AK467" t="str">
        <f>_xlfn.IFS(AND(HR_Data[[#This Row],[Age]]&gt;=18,HR_Data[[#This Row],[Age]]&lt;=25),"18-25",AND(HR_Data[[#This Row],[Age]]&gt;=26,HR_Data[[#This Row],[Age]]&lt;=35),"26-35",AND(HR_Data[[#This Row],[Age]]&gt;=36,HR_Data[[#This Row],[Age]]&lt;=45),"36-45",HR_Data[[#This Row],[Age]]&gt;45,"45+")</f>
        <v>45+</v>
      </c>
      <c r="AL4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68" spans="1:38"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f>IF(HR_Data[[#This Row],[Attrition]]="Yes",1,0)</f>
        <v>0</v>
      </c>
      <c r="AK468" t="str">
        <f>_xlfn.IFS(AND(HR_Data[[#This Row],[Age]]&gt;=18,HR_Data[[#This Row],[Age]]&lt;=25),"18-25",AND(HR_Data[[#This Row],[Age]]&gt;=26,HR_Data[[#This Row],[Age]]&lt;=35),"26-35",AND(HR_Data[[#This Row],[Age]]&gt;=36,HR_Data[[#This Row],[Age]]&lt;=45),"36-45",HR_Data[[#This Row],[Age]]&gt;45,"45+")</f>
        <v>36-45</v>
      </c>
      <c r="AL4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69" spans="1:38"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f>IF(HR_Data[[#This Row],[Attrition]]="Yes",1,0)</f>
        <v>0</v>
      </c>
      <c r="AK469" t="str">
        <f>_xlfn.IFS(AND(HR_Data[[#This Row],[Age]]&gt;=18,HR_Data[[#This Row],[Age]]&lt;=25),"18-25",AND(HR_Data[[#This Row],[Age]]&gt;=26,HR_Data[[#This Row],[Age]]&lt;=35),"26-35",AND(HR_Data[[#This Row],[Age]]&gt;=36,HR_Data[[#This Row],[Age]]&lt;=45),"36-45",HR_Data[[#This Row],[Age]]&gt;45,"45+")</f>
        <v>36-45</v>
      </c>
      <c r="AL4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70" spans="1:38"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f>IF(HR_Data[[#This Row],[Attrition]]="Yes",1,0)</f>
        <v>0</v>
      </c>
      <c r="AK470" t="str">
        <f>_xlfn.IFS(AND(HR_Data[[#This Row],[Age]]&gt;=18,HR_Data[[#This Row],[Age]]&lt;=25),"18-25",AND(HR_Data[[#This Row],[Age]]&gt;=26,HR_Data[[#This Row],[Age]]&lt;=35),"26-35",AND(HR_Data[[#This Row],[Age]]&gt;=36,HR_Data[[#This Row],[Age]]&lt;=45),"36-45",HR_Data[[#This Row],[Age]]&gt;45,"45+")</f>
        <v>45+</v>
      </c>
      <c r="AL4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71" spans="1:38"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f>IF(HR_Data[[#This Row],[Attrition]]="Yes",1,0)</f>
        <v>1</v>
      </c>
      <c r="AK471" t="str">
        <f>_xlfn.IFS(AND(HR_Data[[#This Row],[Age]]&gt;=18,HR_Data[[#This Row],[Age]]&lt;=25),"18-25",AND(HR_Data[[#This Row],[Age]]&gt;=26,HR_Data[[#This Row],[Age]]&lt;=35),"26-35",AND(HR_Data[[#This Row],[Age]]&gt;=36,HR_Data[[#This Row],[Age]]&lt;=45),"36-45",HR_Data[[#This Row],[Age]]&gt;45,"45+")</f>
        <v>26-35</v>
      </c>
      <c r="AL4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72" spans="1:38"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f>IF(HR_Data[[#This Row],[Attrition]]="Yes",1,0)</f>
        <v>0</v>
      </c>
      <c r="AK472" t="str">
        <f>_xlfn.IFS(AND(HR_Data[[#This Row],[Age]]&gt;=18,HR_Data[[#This Row],[Age]]&lt;=25),"18-25",AND(HR_Data[[#This Row],[Age]]&gt;=26,HR_Data[[#This Row],[Age]]&lt;=35),"26-35",AND(HR_Data[[#This Row],[Age]]&gt;=36,HR_Data[[#This Row],[Age]]&lt;=45),"36-45",HR_Data[[#This Row],[Age]]&gt;45,"45+")</f>
        <v>18-25</v>
      </c>
      <c r="AL4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73" spans="1:38"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f>IF(HR_Data[[#This Row],[Attrition]]="Yes",1,0)</f>
        <v>0</v>
      </c>
      <c r="AK473" t="str">
        <f>_xlfn.IFS(AND(HR_Data[[#This Row],[Age]]&gt;=18,HR_Data[[#This Row],[Age]]&lt;=25),"18-25",AND(HR_Data[[#This Row],[Age]]&gt;=26,HR_Data[[#This Row],[Age]]&lt;=35),"26-35",AND(HR_Data[[#This Row],[Age]]&gt;=36,HR_Data[[#This Row],[Age]]&lt;=45),"36-45",HR_Data[[#This Row],[Age]]&gt;45,"45+")</f>
        <v>36-45</v>
      </c>
      <c r="AL4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74" spans="1:38"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f>IF(HR_Data[[#This Row],[Attrition]]="Yes",1,0)</f>
        <v>0</v>
      </c>
      <c r="AK474" t="str">
        <f>_xlfn.IFS(AND(HR_Data[[#This Row],[Age]]&gt;=18,HR_Data[[#This Row],[Age]]&lt;=25),"18-25",AND(HR_Data[[#This Row],[Age]]&gt;=26,HR_Data[[#This Row],[Age]]&lt;=35),"26-35",AND(HR_Data[[#This Row],[Age]]&gt;=36,HR_Data[[#This Row],[Age]]&lt;=45),"36-45",HR_Data[[#This Row],[Age]]&gt;45,"45+")</f>
        <v>36-45</v>
      </c>
      <c r="AL4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75" spans="1:38"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f>IF(HR_Data[[#This Row],[Attrition]]="Yes",1,0)</f>
        <v>0</v>
      </c>
      <c r="AK475" t="str">
        <f>_xlfn.IFS(AND(HR_Data[[#This Row],[Age]]&gt;=18,HR_Data[[#This Row],[Age]]&lt;=25),"18-25",AND(HR_Data[[#This Row],[Age]]&gt;=26,HR_Data[[#This Row],[Age]]&lt;=35),"26-35",AND(HR_Data[[#This Row],[Age]]&gt;=36,HR_Data[[#This Row],[Age]]&lt;=45),"36-45",HR_Data[[#This Row],[Age]]&gt;45,"45+")</f>
        <v>45+</v>
      </c>
      <c r="AL4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76" spans="1:38"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f>IF(HR_Data[[#This Row],[Attrition]]="Yes",1,0)</f>
        <v>0</v>
      </c>
      <c r="AK476" t="str">
        <f>_xlfn.IFS(AND(HR_Data[[#This Row],[Age]]&gt;=18,HR_Data[[#This Row],[Age]]&lt;=25),"18-25",AND(HR_Data[[#This Row],[Age]]&gt;=26,HR_Data[[#This Row],[Age]]&lt;=35),"26-35",AND(HR_Data[[#This Row],[Age]]&gt;=36,HR_Data[[#This Row],[Age]]&lt;=45),"36-45",HR_Data[[#This Row],[Age]]&gt;45,"45+")</f>
        <v>18-25</v>
      </c>
      <c r="AL4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77" spans="1:38"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f>IF(HR_Data[[#This Row],[Attrition]]="Yes",1,0)</f>
        <v>0</v>
      </c>
      <c r="AK477" t="str">
        <f>_xlfn.IFS(AND(HR_Data[[#This Row],[Age]]&gt;=18,HR_Data[[#This Row],[Age]]&lt;=25),"18-25",AND(HR_Data[[#This Row],[Age]]&gt;=26,HR_Data[[#This Row],[Age]]&lt;=35),"26-35",AND(HR_Data[[#This Row],[Age]]&gt;=36,HR_Data[[#This Row],[Age]]&lt;=45),"36-45",HR_Data[[#This Row],[Age]]&gt;45,"45+")</f>
        <v>26-35</v>
      </c>
      <c r="AL4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78" spans="1:38"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f>IF(HR_Data[[#This Row],[Attrition]]="Yes",1,0)</f>
        <v>0</v>
      </c>
      <c r="AK478" t="str">
        <f>_xlfn.IFS(AND(HR_Data[[#This Row],[Age]]&gt;=18,HR_Data[[#This Row],[Age]]&lt;=25),"18-25",AND(HR_Data[[#This Row],[Age]]&gt;=26,HR_Data[[#This Row],[Age]]&lt;=35),"26-35",AND(HR_Data[[#This Row],[Age]]&gt;=36,HR_Data[[#This Row],[Age]]&lt;=45),"36-45",HR_Data[[#This Row],[Age]]&gt;45,"45+")</f>
        <v>18-25</v>
      </c>
      <c r="AL4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79" spans="1:38"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f>IF(HR_Data[[#This Row],[Attrition]]="Yes",1,0)</f>
        <v>0</v>
      </c>
      <c r="AK479" t="str">
        <f>_xlfn.IFS(AND(HR_Data[[#This Row],[Age]]&gt;=18,HR_Data[[#This Row],[Age]]&lt;=25),"18-25",AND(HR_Data[[#This Row],[Age]]&gt;=26,HR_Data[[#This Row],[Age]]&lt;=35),"26-35",AND(HR_Data[[#This Row],[Age]]&gt;=36,HR_Data[[#This Row],[Age]]&lt;=45),"36-45",HR_Data[[#This Row],[Age]]&gt;45,"45+")</f>
        <v>45+</v>
      </c>
      <c r="AL4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480" spans="1:38"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f>IF(HR_Data[[#This Row],[Attrition]]="Yes",1,0)</f>
        <v>0</v>
      </c>
      <c r="AK480" t="str">
        <f>_xlfn.IFS(AND(HR_Data[[#This Row],[Age]]&gt;=18,HR_Data[[#This Row],[Age]]&lt;=25),"18-25",AND(HR_Data[[#This Row],[Age]]&gt;=26,HR_Data[[#This Row],[Age]]&lt;=35),"26-35",AND(HR_Data[[#This Row],[Age]]&gt;=36,HR_Data[[#This Row],[Age]]&lt;=45),"36-45",HR_Data[[#This Row],[Age]]&gt;45,"45+")</f>
        <v>18-25</v>
      </c>
      <c r="AL4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81" spans="1:38"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f>IF(HR_Data[[#This Row],[Attrition]]="Yes",1,0)</f>
        <v>1</v>
      </c>
      <c r="AK481" t="str">
        <f>_xlfn.IFS(AND(HR_Data[[#This Row],[Age]]&gt;=18,HR_Data[[#This Row],[Age]]&lt;=25),"18-25",AND(HR_Data[[#This Row],[Age]]&gt;=26,HR_Data[[#This Row],[Age]]&lt;=35),"26-35",AND(HR_Data[[#This Row],[Age]]&gt;=36,HR_Data[[#This Row],[Age]]&lt;=45),"36-45",HR_Data[[#This Row],[Age]]&gt;45,"45+")</f>
        <v>18-25</v>
      </c>
      <c r="AL4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82" spans="1:38"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f>IF(HR_Data[[#This Row],[Attrition]]="Yes",1,0)</f>
        <v>1</v>
      </c>
      <c r="AK482" t="str">
        <f>_xlfn.IFS(AND(HR_Data[[#This Row],[Age]]&gt;=18,HR_Data[[#This Row],[Age]]&lt;=25),"18-25",AND(HR_Data[[#This Row],[Age]]&gt;=26,HR_Data[[#This Row],[Age]]&lt;=35),"26-35",AND(HR_Data[[#This Row],[Age]]&gt;=36,HR_Data[[#This Row],[Age]]&lt;=45),"36-45",HR_Data[[#This Row],[Age]]&gt;45,"45+")</f>
        <v>26-35</v>
      </c>
      <c r="AL4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83" spans="1:38"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f>IF(HR_Data[[#This Row],[Attrition]]="Yes",1,0)</f>
        <v>0</v>
      </c>
      <c r="AK483" t="str">
        <f>_xlfn.IFS(AND(HR_Data[[#This Row],[Age]]&gt;=18,HR_Data[[#This Row],[Age]]&lt;=25),"18-25",AND(HR_Data[[#This Row],[Age]]&gt;=26,HR_Data[[#This Row],[Age]]&lt;=35),"26-35",AND(HR_Data[[#This Row],[Age]]&gt;=36,HR_Data[[#This Row],[Age]]&lt;=45),"36-45",HR_Data[[#This Row],[Age]]&gt;45,"45+")</f>
        <v>26-35</v>
      </c>
      <c r="AL4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84" spans="1:38"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f>IF(HR_Data[[#This Row],[Attrition]]="Yes",1,0)</f>
        <v>1</v>
      </c>
      <c r="AK484" t="str">
        <f>_xlfn.IFS(AND(HR_Data[[#This Row],[Age]]&gt;=18,HR_Data[[#This Row],[Age]]&lt;=25),"18-25",AND(HR_Data[[#This Row],[Age]]&gt;=26,HR_Data[[#This Row],[Age]]&lt;=35),"26-35",AND(HR_Data[[#This Row],[Age]]&gt;=36,HR_Data[[#This Row],[Age]]&lt;=45),"36-45",HR_Data[[#This Row],[Age]]&gt;45,"45+")</f>
        <v>26-35</v>
      </c>
      <c r="AL4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85" spans="1:38"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f>IF(HR_Data[[#This Row],[Attrition]]="Yes",1,0)</f>
        <v>0</v>
      </c>
      <c r="AK485" t="str">
        <f>_xlfn.IFS(AND(HR_Data[[#This Row],[Age]]&gt;=18,HR_Data[[#This Row],[Age]]&lt;=25),"18-25",AND(HR_Data[[#This Row],[Age]]&gt;=26,HR_Data[[#This Row],[Age]]&lt;=35),"26-35",AND(HR_Data[[#This Row],[Age]]&gt;=36,HR_Data[[#This Row],[Age]]&lt;=45),"36-45",HR_Data[[#This Row],[Age]]&gt;45,"45+")</f>
        <v>26-35</v>
      </c>
      <c r="AL4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86" spans="1:38"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f>IF(HR_Data[[#This Row],[Attrition]]="Yes",1,0)</f>
        <v>0</v>
      </c>
      <c r="AK486" t="str">
        <f>_xlfn.IFS(AND(HR_Data[[#This Row],[Age]]&gt;=18,HR_Data[[#This Row],[Age]]&lt;=25),"18-25",AND(HR_Data[[#This Row],[Age]]&gt;=26,HR_Data[[#This Row],[Age]]&lt;=35),"26-35",AND(HR_Data[[#This Row],[Age]]&gt;=36,HR_Data[[#This Row],[Age]]&lt;=45),"36-45",HR_Data[[#This Row],[Age]]&gt;45,"45+")</f>
        <v>26-35</v>
      </c>
      <c r="AL4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87" spans="1:38"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f>IF(HR_Data[[#This Row],[Attrition]]="Yes",1,0)</f>
        <v>0</v>
      </c>
      <c r="AK487" t="str">
        <f>_xlfn.IFS(AND(HR_Data[[#This Row],[Age]]&gt;=18,HR_Data[[#This Row],[Age]]&lt;=25),"18-25",AND(HR_Data[[#This Row],[Age]]&gt;=26,HR_Data[[#This Row],[Age]]&lt;=35),"26-35",AND(HR_Data[[#This Row],[Age]]&gt;=36,HR_Data[[#This Row],[Age]]&lt;=45),"36-45",HR_Data[[#This Row],[Age]]&gt;45,"45+")</f>
        <v>26-35</v>
      </c>
      <c r="AL4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88" spans="1:38"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f>IF(HR_Data[[#This Row],[Attrition]]="Yes",1,0)</f>
        <v>0</v>
      </c>
      <c r="AK488" t="str">
        <f>_xlfn.IFS(AND(HR_Data[[#This Row],[Age]]&gt;=18,HR_Data[[#This Row],[Age]]&lt;=25),"18-25",AND(HR_Data[[#This Row],[Age]]&gt;=26,HR_Data[[#This Row],[Age]]&lt;=35),"26-35",AND(HR_Data[[#This Row],[Age]]&gt;=36,HR_Data[[#This Row],[Age]]&lt;=45),"36-45",HR_Data[[#This Row],[Age]]&gt;45,"45+")</f>
        <v>36-45</v>
      </c>
      <c r="AL4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89" spans="1:38"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f>IF(HR_Data[[#This Row],[Attrition]]="Yes",1,0)</f>
        <v>0</v>
      </c>
      <c r="AK489" t="str">
        <f>_xlfn.IFS(AND(HR_Data[[#This Row],[Age]]&gt;=18,HR_Data[[#This Row],[Age]]&lt;=25),"18-25",AND(HR_Data[[#This Row],[Age]]&gt;=26,HR_Data[[#This Row],[Age]]&lt;=35),"26-35",AND(HR_Data[[#This Row],[Age]]&gt;=36,HR_Data[[#This Row],[Age]]&lt;=45),"36-45",HR_Data[[#This Row],[Age]]&gt;45,"45+")</f>
        <v>18-25</v>
      </c>
      <c r="AL4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90" spans="1:38"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f>IF(HR_Data[[#This Row],[Attrition]]="Yes",1,0)</f>
        <v>0</v>
      </c>
      <c r="AK490" t="str">
        <f>_xlfn.IFS(AND(HR_Data[[#This Row],[Age]]&gt;=18,HR_Data[[#This Row],[Age]]&lt;=25),"18-25",AND(HR_Data[[#This Row],[Age]]&gt;=26,HR_Data[[#This Row],[Age]]&lt;=35),"26-35",AND(HR_Data[[#This Row],[Age]]&gt;=36,HR_Data[[#This Row],[Age]]&lt;=45),"36-45",HR_Data[[#This Row],[Age]]&gt;45,"45+")</f>
        <v>36-45</v>
      </c>
      <c r="AL4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91" spans="1:38"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f>IF(HR_Data[[#This Row],[Attrition]]="Yes",1,0)</f>
        <v>0</v>
      </c>
      <c r="AK491" t="str">
        <f>_xlfn.IFS(AND(HR_Data[[#This Row],[Age]]&gt;=18,HR_Data[[#This Row],[Age]]&lt;=25),"18-25",AND(HR_Data[[#This Row],[Age]]&gt;=26,HR_Data[[#This Row],[Age]]&lt;=35),"26-35",AND(HR_Data[[#This Row],[Age]]&gt;=36,HR_Data[[#This Row],[Age]]&lt;=45),"36-45",HR_Data[[#This Row],[Age]]&gt;45,"45+")</f>
        <v>36-45</v>
      </c>
      <c r="AL4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92" spans="1:38"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f>IF(HR_Data[[#This Row],[Attrition]]="Yes",1,0)</f>
        <v>0</v>
      </c>
      <c r="AK492" t="str">
        <f>_xlfn.IFS(AND(HR_Data[[#This Row],[Age]]&gt;=18,HR_Data[[#This Row],[Age]]&lt;=25),"18-25",AND(HR_Data[[#This Row],[Age]]&gt;=26,HR_Data[[#This Row],[Age]]&lt;=35),"26-35",AND(HR_Data[[#This Row],[Age]]&gt;=36,HR_Data[[#This Row],[Age]]&lt;=45),"36-45",HR_Data[[#This Row],[Age]]&gt;45,"45+")</f>
        <v>36-45</v>
      </c>
      <c r="AL4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93" spans="1:38"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f>IF(HR_Data[[#This Row],[Attrition]]="Yes",1,0)</f>
        <v>0</v>
      </c>
      <c r="AK493" t="str">
        <f>_xlfn.IFS(AND(HR_Data[[#This Row],[Age]]&gt;=18,HR_Data[[#This Row],[Age]]&lt;=25),"18-25",AND(HR_Data[[#This Row],[Age]]&gt;=26,HR_Data[[#This Row],[Age]]&lt;=35),"26-35",AND(HR_Data[[#This Row],[Age]]&gt;=36,HR_Data[[#This Row],[Age]]&lt;=45),"36-45",HR_Data[[#This Row],[Age]]&gt;45,"45+")</f>
        <v>36-45</v>
      </c>
      <c r="AL4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94" spans="1:38"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f>IF(HR_Data[[#This Row],[Attrition]]="Yes",1,0)</f>
        <v>0</v>
      </c>
      <c r="AK494" t="str">
        <f>_xlfn.IFS(AND(HR_Data[[#This Row],[Age]]&gt;=18,HR_Data[[#This Row],[Age]]&lt;=25),"18-25",AND(HR_Data[[#This Row],[Age]]&gt;=26,HR_Data[[#This Row],[Age]]&lt;=35),"26-35",AND(HR_Data[[#This Row],[Age]]&gt;=36,HR_Data[[#This Row],[Age]]&lt;=45),"36-45",HR_Data[[#This Row],[Age]]&gt;45,"45+")</f>
        <v>45+</v>
      </c>
      <c r="AL4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95" spans="1:38"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f>IF(HR_Data[[#This Row],[Attrition]]="Yes",1,0)</f>
        <v>0</v>
      </c>
      <c r="AK495" t="str">
        <f>_xlfn.IFS(AND(HR_Data[[#This Row],[Age]]&gt;=18,HR_Data[[#This Row],[Age]]&lt;=25),"18-25",AND(HR_Data[[#This Row],[Age]]&gt;=26,HR_Data[[#This Row],[Age]]&lt;=35),"26-35",AND(HR_Data[[#This Row],[Age]]&gt;=36,HR_Data[[#This Row],[Age]]&lt;=45),"36-45",HR_Data[[#This Row],[Age]]&gt;45,"45+")</f>
        <v>36-45</v>
      </c>
      <c r="AL4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496" spans="1:38"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f>IF(HR_Data[[#This Row],[Attrition]]="Yes",1,0)</f>
        <v>0</v>
      </c>
      <c r="AK496" t="str">
        <f>_xlfn.IFS(AND(HR_Data[[#This Row],[Age]]&gt;=18,HR_Data[[#This Row],[Age]]&lt;=25),"18-25",AND(HR_Data[[#This Row],[Age]]&gt;=26,HR_Data[[#This Row],[Age]]&lt;=35),"26-35",AND(HR_Data[[#This Row],[Age]]&gt;=36,HR_Data[[#This Row],[Age]]&lt;=45),"36-45",HR_Data[[#This Row],[Age]]&gt;45,"45+")</f>
        <v>26-35</v>
      </c>
      <c r="AL4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497" spans="1:38"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f>IF(HR_Data[[#This Row],[Attrition]]="Yes",1,0)</f>
        <v>1</v>
      </c>
      <c r="AK497" t="str">
        <f>_xlfn.IFS(AND(HR_Data[[#This Row],[Age]]&gt;=18,HR_Data[[#This Row],[Age]]&lt;=25),"18-25",AND(HR_Data[[#This Row],[Age]]&gt;=26,HR_Data[[#This Row],[Age]]&lt;=35),"26-35",AND(HR_Data[[#This Row],[Age]]&gt;=36,HR_Data[[#This Row],[Age]]&lt;=45),"36-45",HR_Data[[#This Row],[Age]]&gt;45,"45+")</f>
        <v>26-35</v>
      </c>
      <c r="AL4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98" spans="1:38"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f>IF(HR_Data[[#This Row],[Attrition]]="Yes",1,0)</f>
        <v>0</v>
      </c>
      <c r="AK498" t="str">
        <f>_xlfn.IFS(AND(HR_Data[[#This Row],[Age]]&gt;=18,HR_Data[[#This Row],[Age]]&lt;=25),"18-25",AND(HR_Data[[#This Row],[Age]]&gt;=26,HR_Data[[#This Row],[Age]]&lt;=35),"26-35",AND(HR_Data[[#This Row],[Age]]&gt;=36,HR_Data[[#This Row],[Age]]&lt;=45),"36-45",HR_Data[[#This Row],[Age]]&gt;45,"45+")</f>
        <v>18-25</v>
      </c>
      <c r="AL4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499" spans="1:38"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f>IF(HR_Data[[#This Row],[Attrition]]="Yes",1,0)</f>
        <v>0</v>
      </c>
      <c r="AK499" t="str">
        <f>_xlfn.IFS(AND(HR_Data[[#This Row],[Age]]&gt;=18,HR_Data[[#This Row],[Age]]&lt;=25),"18-25",AND(HR_Data[[#This Row],[Age]]&gt;=26,HR_Data[[#This Row],[Age]]&lt;=35),"26-35",AND(HR_Data[[#This Row],[Age]]&gt;=36,HR_Data[[#This Row],[Age]]&lt;=45),"36-45",HR_Data[[#This Row],[Age]]&gt;45,"45+")</f>
        <v>36-45</v>
      </c>
      <c r="AL4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00" spans="1:38"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f>IF(HR_Data[[#This Row],[Attrition]]="Yes",1,0)</f>
        <v>0</v>
      </c>
      <c r="AK500" t="str">
        <f>_xlfn.IFS(AND(HR_Data[[#This Row],[Age]]&gt;=18,HR_Data[[#This Row],[Age]]&lt;=25),"18-25",AND(HR_Data[[#This Row],[Age]]&gt;=26,HR_Data[[#This Row],[Age]]&lt;=35),"26-35",AND(HR_Data[[#This Row],[Age]]&gt;=36,HR_Data[[#This Row],[Age]]&lt;=45),"36-45",HR_Data[[#This Row],[Age]]&gt;45,"45+")</f>
        <v>18-25</v>
      </c>
      <c r="AL5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01" spans="1:38"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f>IF(HR_Data[[#This Row],[Attrition]]="Yes",1,0)</f>
        <v>0</v>
      </c>
      <c r="AK501" t="str">
        <f>_xlfn.IFS(AND(HR_Data[[#This Row],[Age]]&gt;=18,HR_Data[[#This Row],[Age]]&lt;=25),"18-25",AND(HR_Data[[#This Row],[Age]]&gt;=26,HR_Data[[#This Row],[Age]]&lt;=35),"26-35",AND(HR_Data[[#This Row],[Age]]&gt;=36,HR_Data[[#This Row],[Age]]&lt;=45),"36-45",HR_Data[[#This Row],[Age]]&gt;45,"45+")</f>
        <v>26-35</v>
      </c>
      <c r="AL5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02" spans="1:38"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f>IF(HR_Data[[#This Row],[Attrition]]="Yes",1,0)</f>
        <v>0</v>
      </c>
      <c r="AK502" t="str">
        <f>_xlfn.IFS(AND(HR_Data[[#This Row],[Age]]&gt;=18,HR_Data[[#This Row],[Age]]&lt;=25),"18-25",AND(HR_Data[[#This Row],[Age]]&gt;=26,HR_Data[[#This Row],[Age]]&lt;=35),"26-35",AND(HR_Data[[#This Row],[Age]]&gt;=36,HR_Data[[#This Row],[Age]]&lt;=45),"36-45",HR_Data[[#This Row],[Age]]&gt;45,"45+")</f>
        <v>26-35</v>
      </c>
      <c r="AL5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03" spans="1:38"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f>IF(HR_Data[[#This Row],[Attrition]]="Yes",1,0)</f>
        <v>0</v>
      </c>
      <c r="AK503" t="str">
        <f>_xlfn.IFS(AND(HR_Data[[#This Row],[Age]]&gt;=18,HR_Data[[#This Row],[Age]]&lt;=25),"18-25",AND(HR_Data[[#This Row],[Age]]&gt;=26,HR_Data[[#This Row],[Age]]&lt;=35),"26-35",AND(HR_Data[[#This Row],[Age]]&gt;=36,HR_Data[[#This Row],[Age]]&lt;=45),"36-45",HR_Data[[#This Row],[Age]]&gt;45,"45+")</f>
        <v>26-35</v>
      </c>
      <c r="AL5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04" spans="1:38"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f>IF(HR_Data[[#This Row],[Attrition]]="Yes",1,0)</f>
        <v>0</v>
      </c>
      <c r="AK504" t="str">
        <f>_xlfn.IFS(AND(HR_Data[[#This Row],[Age]]&gt;=18,HR_Data[[#This Row],[Age]]&lt;=25),"18-25",AND(HR_Data[[#This Row],[Age]]&gt;=26,HR_Data[[#This Row],[Age]]&lt;=35),"26-35",AND(HR_Data[[#This Row],[Age]]&gt;=36,HR_Data[[#This Row],[Age]]&lt;=45),"36-45",HR_Data[[#This Row],[Age]]&gt;45,"45+")</f>
        <v>45+</v>
      </c>
      <c r="AL5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05" spans="1:38"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f>IF(HR_Data[[#This Row],[Attrition]]="Yes",1,0)</f>
        <v>0</v>
      </c>
      <c r="AK505" t="str">
        <f>_xlfn.IFS(AND(HR_Data[[#This Row],[Age]]&gt;=18,HR_Data[[#This Row],[Age]]&lt;=25),"18-25",AND(HR_Data[[#This Row],[Age]]&gt;=26,HR_Data[[#This Row],[Age]]&lt;=35),"26-35",AND(HR_Data[[#This Row],[Age]]&gt;=36,HR_Data[[#This Row],[Age]]&lt;=45),"36-45",HR_Data[[#This Row],[Age]]&gt;45,"45+")</f>
        <v>26-35</v>
      </c>
      <c r="AL5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06" spans="1:38"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f>IF(HR_Data[[#This Row],[Attrition]]="Yes",1,0)</f>
        <v>1</v>
      </c>
      <c r="AK506" t="str">
        <f>_xlfn.IFS(AND(HR_Data[[#This Row],[Age]]&gt;=18,HR_Data[[#This Row],[Age]]&lt;=25),"18-25",AND(HR_Data[[#This Row],[Age]]&gt;=26,HR_Data[[#This Row],[Age]]&lt;=35),"26-35",AND(HR_Data[[#This Row],[Age]]&gt;=36,HR_Data[[#This Row],[Age]]&lt;=45),"36-45",HR_Data[[#This Row],[Age]]&gt;45,"45+")</f>
        <v>36-45</v>
      </c>
      <c r="AL5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07" spans="1:38"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f>IF(HR_Data[[#This Row],[Attrition]]="Yes",1,0)</f>
        <v>0</v>
      </c>
      <c r="AK507" t="str">
        <f>_xlfn.IFS(AND(HR_Data[[#This Row],[Age]]&gt;=18,HR_Data[[#This Row],[Age]]&lt;=25),"18-25",AND(HR_Data[[#This Row],[Age]]&gt;=26,HR_Data[[#This Row],[Age]]&lt;=35),"26-35",AND(HR_Data[[#This Row],[Age]]&gt;=36,HR_Data[[#This Row],[Age]]&lt;=45),"36-45",HR_Data[[#This Row],[Age]]&gt;45,"45+")</f>
        <v>26-35</v>
      </c>
      <c r="AL5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08" spans="1:38"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f>IF(HR_Data[[#This Row],[Attrition]]="Yes",1,0)</f>
        <v>0</v>
      </c>
      <c r="AK508" t="str">
        <f>_xlfn.IFS(AND(HR_Data[[#This Row],[Age]]&gt;=18,HR_Data[[#This Row],[Age]]&lt;=25),"18-25",AND(HR_Data[[#This Row],[Age]]&gt;=26,HR_Data[[#This Row],[Age]]&lt;=35),"26-35",AND(HR_Data[[#This Row],[Age]]&gt;=36,HR_Data[[#This Row],[Age]]&lt;=45),"36-45",HR_Data[[#This Row],[Age]]&gt;45,"45+")</f>
        <v>36-45</v>
      </c>
      <c r="AL5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09" spans="1:38"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f>IF(HR_Data[[#This Row],[Attrition]]="Yes",1,0)</f>
        <v>0</v>
      </c>
      <c r="AK509" t="str">
        <f>_xlfn.IFS(AND(HR_Data[[#This Row],[Age]]&gt;=18,HR_Data[[#This Row],[Age]]&lt;=25),"18-25",AND(HR_Data[[#This Row],[Age]]&gt;=26,HR_Data[[#This Row],[Age]]&lt;=35),"26-35",AND(HR_Data[[#This Row],[Age]]&gt;=36,HR_Data[[#This Row],[Age]]&lt;=45),"36-45",HR_Data[[#This Row],[Age]]&gt;45,"45+")</f>
        <v>26-35</v>
      </c>
      <c r="AL5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10" spans="1:38"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f>IF(HR_Data[[#This Row],[Attrition]]="Yes",1,0)</f>
        <v>0</v>
      </c>
      <c r="AK510" t="str">
        <f>_xlfn.IFS(AND(HR_Data[[#This Row],[Age]]&gt;=18,HR_Data[[#This Row],[Age]]&lt;=25),"18-25",AND(HR_Data[[#This Row],[Age]]&gt;=26,HR_Data[[#This Row],[Age]]&lt;=35),"26-35",AND(HR_Data[[#This Row],[Age]]&gt;=36,HR_Data[[#This Row],[Age]]&lt;=45),"36-45",HR_Data[[#This Row],[Age]]&gt;45,"45+")</f>
        <v>26-35</v>
      </c>
      <c r="AL5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11" spans="1:38"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f>IF(HR_Data[[#This Row],[Attrition]]="Yes",1,0)</f>
        <v>0</v>
      </c>
      <c r="AK511" t="str">
        <f>_xlfn.IFS(AND(HR_Data[[#This Row],[Age]]&gt;=18,HR_Data[[#This Row],[Age]]&lt;=25),"18-25",AND(HR_Data[[#This Row],[Age]]&gt;=26,HR_Data[[#This Row],[Age]]&lt;=35),"26-35",AND(HR_Data[[#This Row],[Age]]&gt;=36,HR_Data[[#This Row],[Age]]&lt;=45),"36-45",HR_Data[[#This Row],[Age]]&gt;45,"45+")</f>
        <v>26-35</v>
      </c>
      <c r="AL5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12" spans="1:38"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f>IF(HR_Data[[#This Row],[Attrition]]="Yes",1,0)</f>
        <v>0</v>
      </c>
      <c r="AK512" t="str">
        <f>_xlfn.IFS(AND(HR_Data[[#This Row],[Age]]&gt;=18,HR_Data[[#This Row],[Age]]&lt;=25),"18-25",AND(HR_Data[[#This Row],[Age]]&gt;=26,HR_Data[[#This Row],[Age]]&lt;=35),"26-35",AND(HR_Data[[#This Row],[Age]]&gt;=36,HR_Data[[#This Row],[Age]]&lt;=45),"36-45",HR_Data[[#This Row],[Age]]&gt;45,"45+")</f>
        <v>45+</v>
      </c>
      <c r="AL5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13" spans="1:38"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f>IF(HR_Data[[#This Row],[Attrition]]="Yes",1,0)</f>
        <v>0</v>
      </c>
      <c r="AK513" t="str">
        <f>_xlfn.IFS(AND(HR_Data[[#This Row],[Age]]&gt;=18,HR_Data[[#This Row],[Age]]&lt;=25),"18-25",AND(HR_Data[[#This Row],[Age]]&gt;=26,HR_Data[[#This Row],[Age]]&lt;=35),"26-35",AND(HR_Data[[#This Row],[Age]]&gt;=36,HR_Data[[#This Row],[Age]]&lt;=45),"36-45",HR_Data[[#This Row],[Age]]&gt;45,"45+")</f>
        <v>36-45</v>
      </c>
      <c r="AL5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14" spans="1:38"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f>IF(HR_Data[[#This Row],[Attrition]]="Yes",1,0)</f>
        <v>0</v>
      </c>
      <c r="AK514" t="str">
        <f>_xlfn.IFS(AND(HR_Data[[#This Row],[Age]]&gt;=18,HR_Data[[#This Row],[Age]]&lt;=25),"18-25",AND(HR_Data[[#This Row],[Age]]&gt;=26,HR_Data[[#This Row],[Age]]&lt;=35),"26-35",AND(HR_Data[[#This Row],[Age]]&gt;=36,HR_Data[[#This Row],[Age]]&lt;=45),"36-45",HR_Data[[#This Row],[Age]]&gt;45,"45+")</f>
        <v>26-35</v>
      </c>
      <c r="AL5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15" spans="1:38"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f>IF(HR_Data[[#This Row],[Attrition]]="Yes",1,0)</f>
        <v>1</v>
      </c>
      <c r="AK515" t="str">
        <f>_xlfn.IFS(AND(HR_Data[[#This Row],[Age]]&gt;=18,HR_Data[[#This Row],[Age]]&lt;=25),"18-25",AND(HR_Data[[#This Row],[Age]]&gt;=26,HR_Data[[#This Row],[Age]]&lt;=35),"26-35",AND(HR_Data[[#This Row],[Age]]&gt;=36,HR_Data[[#This Row],[Age]]&lt;=45),"36-45",HR_Data[[#This Row],[Age]]&gt;45,"45+")</f>
        <v>18-25</v>
      </c>
      <c r="AL5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16" spans="1:38"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f>IF(HR_Data[[#This Row],[Attrition]]="Yes",1,0)</f>
        <v>1</v>
      </c>
      <c r="AK516" t="str">
        <f>_xlfn.IFS(AND(HR_Data[[#This Row],[Age]]&gt;=18,HR_Data[[#This Row],[Age]]&lt;=25),"18-25",AND(HR_Data[[#This Row],[Age]]&gt;=26,HR_Data[[#This Row],[Age]]&lt;=35),"26-35",AND(HR_Data[[#This Row],[Age]]&gt;=36,HR_Data[[#This Row],[Age]]&lt;=45),"36-45",HR_Data[[#This Row],[Age]]&gt;45,"45+")</f>
        <v>26-35</v>
      </c>
      <c r="AL5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17" spans="1:38"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f>IF(HR_Data[[#This Row],[Attrition]]="Yes",1,0)</f>
        <v>0</v>
      </c>
      <c r="AK517" t="str">
        <f>_xlfn.IFS(AND(HR_Data[[#This Row],[Age]]&gt;=18,HR_Data[[#This Row],[Age]]&lt;=25),"18-25",AND(HR_Data[[#This Row],[Age]]&gt;=26,HR_Data[[#This Row],[Age]]&lt;=35),"26-35",AND(HR_Data[[#This Row],[Age]]&gt;=36,HR_Data[[#This Row],[Age]]&lt;=45),"36-45",HR_Data[[#This Row],[Age]]&gt;45,"45+")</f>
        <v>26-35</v>
      </c>
      <c r="AL5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18" spans="1:38"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f>IF(HR_Data[[#This Row],[Attrition]]="Yes",1,0)</f>
        <v>0</v>
      </c>
      <c r="AK518" t="str">
        <f>_xlfn.IFS(AND(HR_Data[[#This Row],[Age]]&gt;=18,HR_Data[[#This Row],[Age]]&lt;=25),"18-25",AND(HR_Data[[#This Row],[Age]]&gt;=26,HR_Data[[#This Row],[Age]]&lt;=35),"26-35",AND(HR_Data[[#This Row],[Age]]&gt;=36,HR_Data[[#This Row],[Age]]&lt;=45),"36-45",HR_Data[[#This Row],[Age]]&gt;45,"45+")</f>
        <v>18-25</v>
      </c>
      <c r="AL5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19" spans="1:38"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f>IF(HR_Data[[#This Row],[Attrition]]="Yes",1,0)</f>
        <v>0</v>
      </c>
      <c r="AK519" t="str">
        <f>_xlfn.IFS(AND(HR_Data[[#This Row],[Age]]&gt;=18,HR_Data[[#This Row],[Age]]&lt;=25),"18-25",AND(HR_Data[[#This Row],[Age]]&gt;=26,HR_Data[[#This Row],[Age]]&lt;=35),"26-35",AND(HR_Data[[#This Row],[Age]]&gt;=36,HR_Data[[#This Row],[Age]]&lt;=45),"36-45",HR_Data[[#This Row],[Age]]&gt;45,"45+")</f>
        <v>18-25</v>
      </c>
      <c r="AL5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20" spans="1:38"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f>IF(HR_Data[[#This Row],[Attrition]]="Yes",1,0)</f>
        <v>0</v>
      </c>
      <c r="AK520" t="str">
        <f>_xlfn.IFS(AND(HR_Data[[#This Row],[Age]]&gt;=18,HR_Data[[#This Row],[Age]]&lt;=25),"18-25",AND(HR_Data[[#This Row],[Age]]&gt;=26,HR_Data[[#This Row],[Age]]&lt;=35),"26-35",AND(HR_Data[[#This Row],[Age]]&gt;=36,HR_Data[[#This Row],[Age]]&lt;=45),"36-45",HR_Data[[#This Row],[Age]]&gt;45,"45+")</f>
        <v>36-45</v>
      </c>
      <c r="AL5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21" spans="1:38"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f>IF(HR_Data[[#This Row],[Attrition]]="Yes",1,0)</f>
        <v>0</v>
      </c>
      <c r="AK521" t="str">
        <f>_xlfn.IFS(AND(HR_Data[[#This Row],[Age]]&gt;=18,HR_Data[[#This Row],[Age]]&lt;=25),"18-25",AND(HR_Data[[#This Row],[Age]]&gt;=26,HR_Data[[#This Row],[Age]]&lt;=35),"26-35",AND(HR_Data[[#This Row],[Age]]&gt;=36,HR_Data[[#This Row],[Age]]&lt;=45),"36-45",HR_Data[[#This Row],[Age]]&gt;45,"45+")</f>
        <v>26-35</v>
      </c>
      <c r="AL5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22" spans="1:38"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f>IF(HR_Data[[#This Row],[Attrition]]="Yes",1,0)</f>
        <v>0</v>
      </c>
      <c r="AK522" t="str">
        <f>_xlfn.IFS(AND(HR_Data[[#This Row],[Age]]&gt;=18,HR_Data[[#This Row],[Age]]&lt;=25),"18-25",AND(HR_Data[[#This Row],[Age]]&gt;=26,HR_Data[[#This Row],[Age]]&lt;=35),"26-35",AND(HR_Data[[#This Row],[Age]]&gt;=36,HR_Data[[#This Row],[Age]]&lt;=45),"36-45",HR_Data[[#This Row],[Age]]&gt;45,"45+")</f>
        <v>45+</v>
      </c>
      <c r="AL5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23" spans="1:38"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f>IF(HR_Data[[#This Row],[Attrition]]="Yes",1,0)</f>
        <v>0</v>
      </c>
      <c r="AK523" t="str">
        <f>_xlfn.IFS(AND(HR_Data[[#This Row],[Age]]&gt;=18,HR_Data[[#This Row],[Age]]&lt;=25),"18-25",AND(HR_Data[[#This Row],[Age]]&gt;=26,HR_Data[[#This Row],[Age]]&lt;=35),"26-35",AND(HR_Data[[#This Row],[Age]]&gt;=36,HR_Data[[#This Row],[Age]]&lt;=45),"36-45",HR_Data[[#This Row],[Age]]&gt;45,"45+")</f>
        <v>26-35</v>
      </c>
      <c r="AL5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24" spans="1:38"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f>IF(HR_Data[[#This Row],[Attrition]]="Yes",1,0)</f>
        <v>0</v>
      </c>
      <c r="AK524" t="str">
        <f>_xlfn.IFS(AND(HR_Data[[#This Row],[Age]]&gt;=18,HR_Data[[#This Row],[Age]]&lt;=25),"18-25",AND(HR_Data[[#This Row],[Age]]&gt;=26,HR_Data[[#This Row],[Age]]&lt;=35),"26-35",AND(HR_Data[[#This Row],[Age]]&gt;=36,HR_Data[[#This Row],[Age]]&lt;=45),"36-45",HR_Data[[#This Row],[Age]]&gt;45,"45+")</f>
        <v>36-45</v>
      </c>
      <c r="AL5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25" spans="1:38"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f>IF(HR_Data[[#This Row],[Attrition]]="Yes",1,0)</f>
        <v>0</v>
      </c>
      <c r="AK525" t="str">
        <f>_xlfn.IFS(AND(HR_Data[[#This Row],[Age]]&gt;=18,HR_Data[[#This Row],[Age]]&lt;=25),"18-25",AND(HR_Data[[#This Row],[Age]]&gt;=26,HR_Data[[#This Row],[Age]]&lt;=35),"26-35",AND(HR_Data[[#This Row],[Age]]&gt;=36,HR_Data[[#This Row],[Age]]&lt;=45),"36-45",HR_Data[[#This Row],[Age]]&gt;45,"45+")</f>
        <v>45+</v>
      </c>
      <c r="AL5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26" spans="1:38"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f>IF(HR_Data[[#This Row],[Attrition]]="Yes",1,0)</f>
        <v>0</v>
      </c>
      <c r="AK526" t="str">
        <f>_xlfn.IFS(AND(HR_Data[[#This Row],[Age]]&gt;=18,HR_Data[[#This Row],[Age]]&lt;=25),"18-25",AND(HR_Data[[#This Row],[Age]]&gt;=26,HR_Data[[#This Row],[Age]]&lt;=35),"26-35",AND(HR_Data[[#This Row],[Age]]&gt;=36,HR_Data[[#This Row],[Age]]&lt;=45),"36-45",HR_Data[[#This Row],[Age]]&gt;45,"45+")</f>
        <v>26-35</v>
      </c>
      <c r="AL5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27" spans="1:38"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f>IF(HR_Data[[#This Row],[Attrition]]="Yes",1,0)</f>
        <v>1</v>
      </c>
      <c r="AK527" t="str">
        <f>_xlfn.IFS(AND(HR_Data[[#This Row],[Age]]&gt;=18,HR_Data[[#This Row],[Age]]&lt;=25),"18-25",AND(HR_Data[[#This Row],[Age]]&gt;=26,HR_Data[[#This Row],[Age]]&lt;=35),"26-35",AND(HR_Data[[#This Row],[Age]]&gt;=36,HR_Data[[#This Row],[Age]]&lt;=45),"36-45",HR_Data[[#This Row],[Age]]&gt;45,"45+")</f>
        <v>18-25</v>
      </c>
      <c r="AL5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28" spans="1:38"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f>IF(HR_Data[[#This Row],[Attrition]]="Yes",1,0)</f>
        <v>0</v>
      </c>
      <c r="AK528" t="str">
        <f>_xlfn.IFS(AND(HR_Data[[#This Row],[Age]]&gt;=18,HR_Data[[#This Row],[Age]]&lt;=25),"18-25",AND(HR_Data[[#This Row],[Age]]&gt;=26,HR_Data[[#This Row],[Age]]&lt;=35),"26-35",AND(HR_Data[[#This Row],[Age]]&gt;=36,HR_Data[[#This Row],[Age]]&lt;=45),"36-45",HR_Data[[#This Row],[Age]]&gt;45,"45+")</f>
        <v>36-45</v>
      </c>
      <c r="AL5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29" spans="1:38"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f>IF(HR_Data[[#This Row],[Attrition]]="Yes",1,0)</f>
        <v>0</v>
      </c>
      <c r="AK529" t="str">
        <f>_xlfn.IFS(AND(HR_Data[[#This Row],[Age]]&gt;=18,HR_Data[[#This Row],[Age]]&lt;=25),"18-25",AND(HR_Data[[#This Row],[Age]]&gt;=26,HR_Data[[#This Row],[Age]]&lt;=35),"26-35",AND(HR_Data[[#This Row],[Age]]&gt;=36,HR_Data[[#This Row],[Age]]&lt;=45),"36-45",HR_Data[[#This Row],[Age]]&gt;45,"45+")</f>
        <v>26-35</v>
      </c>
      <c r="AL5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30" spans="1:38"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f>IF(HR_Data[[#This Row],[Attrition]]="Yes",1,0)</f>
        <v>1</v>
      </c>
      <c r="AK530" t="str">
        <f>_xlfn.IFS(AND(HR_Data[[#This Row],[Age]]&gt;=18,HR_Data[[#This Row],[Age]]&lt;=25),"18-25",AND(HR_Data[[#This Row],[Age]]&gt;=26,HR_Data[[#This Row],[Age]]&lt;=35),"26-35",AND(HR_Data[[#This Row],[Age]]&gt;=36,HR_Data[[#This Row],[Age]]&lt;=45),"36-45",HR_Data[[#This Row],[Age]]&gt;45,"45+")</f>
        <v>45+</v>
      </c>
      <c r="AL5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31" spans="1:38"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f>IF(HR_Data[[#This Row],[Attrition]]="Yes",1,0)</f>
        <v>0</v>
      </c>
      <c r="AK531" t="str">
        <f>_xlfn.IFS(AND(HR_Data[[#This Row],[Age]]&gt;=18,HR_Data[[#This Row],[Age]]&lt;=25),"18-25",AND(HR_Data[[#This Row],[Age]]&gt;=26,HR_Data[[#This Row],[Age]]&lt;=35),"26-35",AND(HR_Data[[#This Row],[Age]]&gt;=36,HR_Data[[#This Row],[Age]]&lt;=45),"36-45",HR_Data[[#This Row],[Age]]&gt;45,"45+")</f>
        <v>36-45</v>
      </c>
      <c r="AL5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32" spans="1:38"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f>IF(HR_Data[[#This Row],[Attrition]]="Yes",1,0)</f>
        <v>0</v>
      </c>
      <c r="AK532" t="str">
        <f>_xlfn.IFS(AND(HR_Data[[#This Row],[Age]]&gt;=18,HR_Data[[#This Row],[Age]]&lt;=25),"18-25",AND(HR_Data[[#This Row],[Age]]&gt;=26,HR_Data[[#This Row],[Age]]&lt;=35),"26-35",AND(HR_Data[[#This Row],[Age]]&gt;=36,HR_Data[[#This Row],[Age]]&lt;=45),"36-45",HR_Data[[#This Row],[Age]]&gt;45,"45+")</f>
        <v>26-35</v>
      </c>
      <c r="AL5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33" spans="1:38"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f>IF(HR_Data[[#This Row],[Attrition]]="Yes",1,0)</f>
        <v>0</v>
      </c>
      <c r="AK533" t="str">
        <f>_xlfn.IFS(AND(HR_Data[[#This Row],[Age]]&gt;=18,HR_Data[[#This Row],[Age]]&lt;=25),"18-25",AND(HR_Data[[#This Row],[Age]]&gt;=26,HR_Data[[#This Row],[Age]]&lt;=35),"26-35",AND(HR_Data[[#This Row],[Age]]&gt;=36,HR_Data[[#This Row],[Age]]&lt;=45),"36-45",HR_Data[[#This Row],[Age]]&gt;45,"45+")</f>
        <v>26-35</v>
      </c>
      <c r="AL5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34" spans="1:38"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f>IF(HR_Data[[#This Row],[Attrition]]="Yes",1,0)</f>
        <v>0</v>
      </c>
      <c r="AK534" t="str">
        <f>_xlfn.IFS(AND(HR_Data[[#This Row],[Age]]&gt;=18,HR_Data[[#This Row],[Age]]&lt;=25),"18-25",AND(HR_Data[[#This Row],[Age]]&gt;=26,HR_Data[[#This Row],[Age]]&lt;=35),"26-35",AND(HR_Data[[#This Row],[Age]]&gt;=36,HR_Data[[#This Row],[Age]]&lt;=45),"36-45",HR_Data[[#This Row],[Age]]&gt;45,"45+")</f>
        <v>45+</v>
      </c>
      <c r="AL5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35" spans="1:38"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f>IF(HR_Data[[#This Row],[Attrition]]="Yes",1,0)</f>
        <v>0</v>
      </c>
      <c r="AK535" t="str">
        <f>_xlfn.IFS(AND(HR_Data[[#This Row],[Age]]&gt;=18,HR_Data[[#This Row],[Age]]&lt;=25),"18-25",AND(HR_Data[[#This Row],[Age]]&gt;=26,HR_Data[[#This Row],[Age]]&lt;=35),"26-35",AND(HR_Data[[#This Row],[Age]]&gt;=36,HR_Data[[#This Row],[Age]]&lt;=45),"36-45",HR_Data[[#This Row],[Age]]&gt;45,"45+")</f>
        <v>36-45</v>
      </c>
      <c r="AL5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36" spans="1:38"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f>IF(HR_Data[[#This Row],[Attrition]]="Yes",1,0)</f>
        <v>0</v>
      </c>
      <c r="AK536" t="str">
        <f>_xlfn.IFS(AND(HR_Data[[#This Row],[Age]]&gt;=18,HR_Data[[#This Row],[Age]]&lt;=25),"18-25",AND(HR_Data[[#This Row],[Age]]&gt;=26,HR_Data[[#This Row],[Age]]&lt;=35),"26-35",AND(HR_Data[[#This Row],[Age]]&gt;=36,HR_Data[[#This Row],[Age]]&lt;=45),"36-45",HR_Data[[#This Row],[Age]]&gt;45,"45+")</f>
        <v>45+</v>
      </c>
      <c r="AL5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37" spans="1:38"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f>IF(HR_Data[[#This Row],[Attrition]]="Yes",1,0)</f>
        <v>0</v>
      </c>
      <c r="AK537" t="str">
        <f>_xlfn.IFS(AND(HR_Data[[#This Row],[Age]]&gt;=18,HR_Data[[#This Row],[Age]]&lt;=25),"18-25",AND(HR_Data[[#This Row],[Age]]&gt;=26,HR_Data[[#This Row],[Age]]&lt;=35),"26-35",AND(HR_Data[[#This Row],[Age]]&gt;=36,HR_Data[[#This Row],[Age]]&lt;=45),"36-45",HR_Data[[#This Row],[Age]]&gt;45,"45+")</f>
        <v>36-45</v>
      </c>
      <c r="AL5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38" spans="1:38"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f>IF(HR_Data[[#This Row],[Attrition]]="Yes",1,0)</f>
        <v>0</v>
      </c>
      <c r="AK538" t="str">
        <f>_xlfn.IFS(AND(HR_Data[[#This Row],[Age]]&gt;=18,HR_Data[[#This Row],[Age]]&lt;=25),"18-25",AND(HR_Data[[#This Row],[Age]]&gt;=26,HR_Data[[#This Row],[Age]]&lt;=35),"26-35",AND(HR_Data[[#This Row],[Age]]&gt;=36,HR_Data[[#This Row],[Age]]&lt;=45),"36-45",HR_Data[[#This Row],[Age]]&gt;45,"45+")</f>
        <v>45+</v>
      </c>
      <c r="AL5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39" spans="1:38"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f>IF(HR_Data[[#This Row],[Attrition]]="Yes",1,0)</f>
        <v>0</v>
      </c>
      <c r="AK539" t="str">
        <f>_xlfn.IFS(AND(HR_Data[[#This Row],[Age]]&gt;=18,HR_Data[[#This Row],[Age]]&lt;=25),"18-25",AND(HR_Data[[#This Row],[Age]]&gt;=26,HR_Data[[#This Row],[Age]]&lt;=35),"26-35",AND(HR_Data[[#This Row],[Age]]&gt;=36,HR_Data[[#This Row],[Age]]&lt;=45),"36-45",HR_Data[[#This Row],[Age]]&gt;45,"45+")</f>
        <v>26-35</v>
      </c>
      <c r="AL5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40" spans="1:38"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f>IF(HR_Data[[#This Row],[Attrition]]="Yes",1,0)</f>
        <v>0</v>
      </c>
      <c r="AK540" t="str">
        <f>_xlfn.IFS(AND(HR_Data[[#This Row],[Age]]&gt;=18,HR_Data[[#This Row],[Age]]&lt;=25),"18-25",AND(HR_Data[[#This Row],[Age]]&gt;=26,HR_Data[[#This Row],[Age]]&lt;=35),"26-35",AND(HR_Data[[#This Row],[Age]]&gt;=36,HR_Data[[#This Row],[Age]]&lt;=45),"36-45",HR_Data[[#This Row],[Age]]&gt;45,"45+")</f>
        <v>36-45</v>
      </c>
      <c r="AL5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41" spans="1:38"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f>IF(HR_Data[[#This Row],[Attrition]]="Yes",1,0)</f>
        <v>0</v>
      </c>
      <c r="AK541" t="str">
        <f>_xlfn.IFS(AND(HR_Data[[#This Row],[Age]]&gt;=18,HR_Data[[#This Row],[Age]]&lt;=25),"18-25",AND(HR_Data[[#This Row],[Age]]&gt;=26,HR_Data[[#This Row],[Age]]&lt;=35),"26-35",AND(HR_Data[[#This Row],[Age]]&gt;=36,HR_Data[[#This Row],[Age]]&lt;=45),"36-45",HR_Data[[#This Row],[Age]]&gt;45,"45+")</f>
        <v>45+</v>
      </c>
      <c r="AL5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42" spans="1:38"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f>IF(HR_Data[[#This Row],[Attrition]]="Yes",1,0)</f>
        <v>1</v>
      </c>
      <c r="AK542" t="str">
        <f>_xlfn.IFS(AND(HR_Data[[#This Row],[Age]]&gt;=18,HR_Data[[#This Row],[Age]]&lt;=25),"18-25",AND(HR_Data[[#This Row],[Age]]&gt;=26,HR_Data[[#This Row],[Age]]&lt;=35),"26-35",AND(HR_Data[[#This Row],[Age]]&gt;=36,HR_Data[[#This Row],[Age]]&lt;=45),"36-45",HR_Data[[#This Row],[Age]]&gt;45,"45+")</f>
        <v>26-35</v>
      </c>
      <c r="AL5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43" spans="1:38"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f>IF(HR_Data[[#This Row],[Attrition]]="Yes",1,0)</f>
        <v>0</v>
      </c>
      <c r="AK543" t="str">
        <f>_xlfn.IFS(AND(HR_Data[[#This Row],[Age]]&gt;=18,HR_Data[[#This Row],[Age]]&lt;=25),"18-25",AND(HR_Data[[#This Row],[Age]]&gt;=26,HR_Data[[#This Row],[Age]]&lt;=35),"26-35",AND(HR_Data[[#This Row],[Age]]&gt;=36,HR_Data[[#This Row],[Age]]&lt;=45),"36-45",HR_Data[[#This Row],[Age]]&gt;45,"45+")</f>
        <v>36-45</v>
      </c>
      <c r="AL5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44" spans="1:38"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f>IF(HR_Data[[#This Row],[Attrition]]="Yes",1,0)</f>
        <v>0</v>
      </c>
      <c r="AK544" t="str">
        <f>_xlfn.IFS(AND(HR_Data[[#This Row],[Age]]&gt;=18,HR_Data[[#This Row],[Age]]&lt;=25),"18-25",AND(HR_Data[[#This Row],[Age]]&gt;=26,HR_Data[[#This Row],[Age]]&lt;=35),"26-35",AND(HR_Data[[#This Row],[Age]]&gt;=36,HR_Data[[#This Row],[Age]]&lt;=45),"36-45",HR_Data[[#This Row],[Age]]&gt;45,"45+")</f>
        <v>36-45</v>
      </c>
      <c r="AL5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45" spans="1:38"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f>IF(HR_Data[[#This Row],[Attrition]]="Yes",1,0)</f>
        <v>0</v>
      </c>
      <c r="AK545" t="str">
        <f>_xlfn.IFS(AND(HR_Data[[#This Row],[Age]]&gt;=18,HR_Data[[#This Row],[Age]]&lt;=25),"18-25",AND(HR_Data[[#This Row],[Age]]&gt;=26,HR_Data[[#This Row],[Age]]&lt;=35),"26-35",AND(HR_Data[[#This Row],[Age]]&gt;=36,HR_Data[[#This Row],[Age]]&lt;=45),"36-45",HR_Data[[#This Row],[Age]]&gt;45,"45+")</f>
        <v>36-45</v>
      </c>
      <c r="AL5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46" spans="1:38"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f>IF(HR_Data[[#This Row],[Attrition]]="Yes",1,0)</f>
        <v>0</v>
      </c>
      <c r="AK546" t="str">
        <f>_xlfn.IFS(AND(HR_Data[[#This Row],[Age]]&gt;=18,HR_Data[[#This Row],[Age]]&lt;=25),"18-25",AND(HR_Data[[#This Row],[Age]]&gt;=26,HR_Data[[#This Row],[Age]]&lt;=35),"26-35",AND(HR_Data[[#This Row],[Age]]&gt;=36,HR_Data[[#This Row],[Age]]&lt;=45),"36-45",HR_Data[[#This Row],[Age]]&gt;45,"45+")</f>
        <v>45+</v>
      </c>
      <c r="AL5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47" spans="1:38"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f>IF(HR_Data[[#This Row],[Attrition]]="Yes",1,0)</f>
        <v>0</v>
      </c>
      <c r="AK547" t="str">
        <f>_xlfn.IFS(AND(HR_Data[[#This Row],[Age]]&gt;=18,HR_Data[[#This Row],[Age]]&lt;=25),"18-25",AND(HR_Data[[#This Row],[Age]]&gt;=26,HR_Data[[#This Row],[Age]]&lt;=35),"26-35",AND(HR_Data[[#This Row],[Age]]&gt;=36,HR_Data[[#This Row],[Age]]&lt;=45),"36-45",HR_Data[[#This Row],[Age]]&gt;45,"45+")</f>
        <v>26-35</v>
      </c>
      <c r="AL5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48" spans="1:38"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f>IF(HR_Data[[#This Row],[Attrition]]="Yes",1,0)</f>
        <v>0</v>
      </c>
      <c r="AK548" t="str">
        <f>_xlfn.IFS(AND(HR_Data[[#This Row],[Age]]&gt;=18,HR_Data[[#This Row],[Age]]&lt;=25),"18-25",AND(HR_Data[[#This Row],[Age]]&gt;=26,HR_Data[[#This Row],[Age]]&lt;=35),"26-35",AND(HR_Data[[#This Row],[Age]]&gt;=36,HR_Data[[#This Row],[Age]]&lt;=45),"36-45",HR_Data[[#This Row],[Age]]&gt;45,"45+")</f>
        <v>26-35</v>
      </c>
      <c r="AL5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49" spans="1:38"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f>IF(HR_Data[[#This Row],[Attrition]]="Yes",1,0)</f>
        <v>1</v>
      </c>
      <c r="AK549" t="str">
        <f>_xlfn.IFS(AND(HR_Data[[#This Row],[Age]]&gt;=18,HR_Data[[#This Row],[Age]]&lt;=25),"18-25",AND(HR_Data[[#This Row],[Age]]&gt;=26,HR_Data[[#This Row],[Age]]&lt;=35),"26-35",AND(HR_Data[[#This Row],[Age]]&gt;=36,HR_Data[[#This Row],[Age]]&lt;=45),"36-45",HR_Data[[#This Row],[Age]]&gt;45,"45+")</f>
        <v>36-45</v>
      </c>
      <c r="AL5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50" spans="1:38"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f>IF(HR_Data[[#This Row],[Attrition]]="Yes",1,0)</f>
        <v>0</v>
      </c>
      <c r="AK550" t="str">
        <f>_xlfn.IFS(AND(HR_Data[[#This Row],[Age]]&gt;=18,HR_Data[[#This Row],[Age]]&lt;=25),"18-25",AND(HR_Data[[#This Row],[Age]]&gt;=26,HR_Data[[#This Row],[Age]]&lt;=35),"26-35",AND(HR_Data[[#This Row],[Age]]&gt;=36,HR_Data[[#This Row],[Age]]&lt;=45),"36-45",HR_Data[[#This Row],[Age]]&gt;45,"45+")</f>
        <v>36-45</v>
      </c>
      <c r="AL5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51" spans="1:38"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f>IF(HR_Data[[#This Row],[Attrition]]="Yes",1,0)</f>
        <v>0</v>
      </c>
      <c r="AK551" t="str">
        <f>_xlfn.IFS(AND(HR_Data[[#This Row],[Age]]&gt;=18,HR_Data[[#This Row],[Age]]&lt;=25),"18-25",AND(HR_Data[[#This Row],[Age]]&gt;=26,HR_Data[[#This Row],[Age]]&lt;=35),"26-35",AND(HR_Data[[#This Row],[Age]]&gt;=36,HR_Data[[#This Row],[Age]]&lt;=45),"36-45",HR_Data[[#This Row],[Age]]&gt;45,"45+")</f>
        <v>26-35</v>
      </c>
      <c r="AL5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52" spans="1:38"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f>IF(HR_Data[[#This Row],[Attrition]]="Yes",1,0)</f>
        <v>0</v>
      </c>
      <c r="AK552" t="str">
        <f>_xlfn.IFS(AND(HR_Data[[#This Row],[Age]]&gt;=18,HR_Data[[#This Row],[Age]]&lt;=25),"18-25",AND(HR_Data[[#This Row],[Age]]&gt;=26,HR_Data[[#This Row],[Age]]&lt;=35),"26-35",AND(HR_Data[[#This Row],[Age]]&gt;=36,HR_Data[[#This Row],[Age]]&lt;=45),"36-45",HR_Data[[#This Row],[Age]]&gt;45,"45+")</f>
        <v>18-25</v>
      </c>
      <c r="AL5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53" spans="1:38"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f>IF(HR_Data[[#This Row],[Attrition]]="Yes",1,0)</f>
        <v>0</v>
      </c>
      <c r="AK553" t="str">
        <f>_xlfn.IFS(AND(HR_Data[[#This Row],[Age]]&gt;=18,HR_Data[[#This Row],[Age]]&lt;=25),"18-25",AND(HR_Data[[#This Row],[Age]]&gt;=26,HR_Data[[#This Row],[Age]]&lt;=35),"26-35",AND(HR_Data[[#This Row],[Age]]&gt;=36,HR_Data[[#This Row],[Age]]&lt;=45),"36-45",HR_Data[[#This Row],[Age]]&gt;45,"45+")</f>
        <v>36-45</v>
      </c>
      <c r="AL5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54" spans="1:38"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f>IF(HR_Data[[#This Row],[Attrition]]="Yes",1,0)</f>
        <v>0</v>
      </c>
      <c r="AK554" t="str">
        <f>_xlfn.IFS(AND(HR_Data[[#This Row],[Age]]&gt;=18,HR_Data[[#This Row],[Age]]&lt;=25),"18-25",AND(HR_Data[[#This Row],[Age]]&gt;=26,HR_Data[[#This Row],[Age]]&lt;=35),"26-35",AND(HR_Data[[#This Row],[Age]]&gt;=36,HR_Data[[#This Row],[Age]]&lt;=45),"36-45",HR_Data[[#This Row],[Age]]&gt;45,"45+")</f>
        <v>45+</v>
      </c>
      <c r="AL5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55" spans="1:38"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f>IF(HR_Data[[#This Row],[Attrition]]="Yes",1,0)</f>
        <v>0</v>
      </c>
      <c r="AK555" t="str">
        <f>_xlfn.IFS(AND(HR_Data[[#This Row],[Age]]&gt;=18,HR_Data[[#This Row],[Age]]&lt;=25),"18-25",AND(HR_Data[[#This Row],[Age]]&gt;=26,HR_Data[[#This Row],[Age]]&lt;=35),"26-35",AND(HR_Data[[#This Row],[Age]]&gt;=36,HR_Data[[#This Row],[Age]]&lt;=45),"36-45",HR_Data[[#This Row],[Age]]&gt;45,"45+")</f>
        <v>36-45</v>
      </c>
      <c r="AL5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56" spans="1:38"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f>IF(HR_Data[[#This Row],[Attrition]]="Yes",1,0)</f>
        <v>0</v>
      </c>
      <c r="AK556" t="str">
        <f>_xlfn.IFS(AND(HR_Data[[#This Row],[Age]]&gt;=18,HR_Data[[#This Row],[Age]]&lt;=25),"18-25",AND(HR_Data[[#This Row],[Age]]&gt;=26,HR_Data[[#This Row],[Age]]&lt;=35),"26-35",AND(HR_Data[[#This Row],[Age]]&gt;=36,HR_Data[[#This Row],[Age]]&lt;=45),"36-45",HR_Data[[#This Row],[Age]]&gt;45,"45+")</f>
        <v>26-35</v>
      </c>
      <c r="AL5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57" spans="1:38"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f>IF(HR_Data[[#This Row],[Attrition]]="Yes",1,0)</f>
        <v>0</v>
      </c>
      <c r="AK557" t="str">
        <f>_xlfn.IFS(AND(HR_Data[[#This Row],[Age]]&gt;=18,HR_Data[[#This Row],[Age]]&lt;=25),"18-25",AND(HR_Data[[#This Row],[Age]]&gt;=26,HR_Data[[#This Row],[Age]]&lt;=35),"26-35",AND(HR_Data[[#This Row],[Age]]&gt;=36,HR_Data[[#This Row],[Age]]&lt;=45),"36-45",HR_Data[[#This Row],[Age]]&gt;45,"45+")</f>
        <v>26-35</v>
      </c>
      <c r="AL5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58" spans="1:38"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f>IF(HR_Data[[#This Row],[Attrition]]="Yes",1,0)</f>
        <v>0</v>
      </c>
      <c r="AK558" t="str">
        <f>_xlfn.IFS(AND(HR_Data[[#This Row],[Age]]&gt;=18,HR_Data[[#This Row],[Age]]&lt;=25),"18-25",AND(HR_Data[[#This Row],[Age]]&gt;=26,HR_Data[[#This Row],[Age]]&lt;=35),"26-35",AND(HR_Data[[#This Row],[Age]]&gt;=36,HR_Data[[#This Row],[Age]]&lt;=45),"36-45",HR_Data[[#This Row],[Age]]&gt;45,"45+")</f>
        <v>45+</v>
      </c>
      <c r="AL5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59" spans="1:38"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f>IF(HR_Data[[#This Row],[Attrition]]="Yes",1,0)</f>
        <v>0</v>
      </c>
      <c r="AK559" t="str">
        <f>_xlfn.IFS(AND(HR_Data[[#This Row],[Age]]&gt;=18,HR_Data[[#This Row],[Age]]&lt;=25),"18-25",AND(HR_Data[[#This Row],[Age]]&gt;=26,HR_Data[[#This Row],[Age]]&lt;=35),"26-35",AND(HR_Data[[#This Row],[Age]]&gt;=36,HR_Data[[#This Row],[Age]]&lt;=45),"36-45",HR_Data[[#This Row],[Age]]&gt;45,"45+")</f>
        <v>26-35</v>
      </c>
      <c r="AL5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60" spans="1:38"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f>IF(HR_Data[[#This Row],[Attrition]]="Yes",1,0)</f>
        <v>0</v>
      </c>
      <c r="AK560" t="str">
        <f>_xlfn.IFS(AND(HR_Data[[#This Row],[Age]]&gt;=18,HR_Data[[#This Row],[Age]]&lt;=25),"18-25",AND(HR_Data[[#This Row],[Age]]&gt;=26,HR_Data[[#This Row],[Age]]&lt;=35),"26-35",AND(HR_Data[[#This Row],[Age]]&gt;=36,HR_Data[[#This Row],[Age]]&lt;=45),"36-45",HR_Data[[#This Row],[Age]]&gt;45,"45+")</f>
        <v>26-35</v>
      </c>
      <c r="AL5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61" spans="1:38"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f>IF(HR_Data[[#This Row],[Attrition]]="Yes",1,0)</f>
        <v>0</v>
      </c>
      <c r="AK561" t="str">
        <f>_xlfn.IFS(AND(HR_Data[[#This Row],[Age]]&gt;=18,HR_Data[[#This Row],[Age]]&lt;=25),"18-25",AND(HR_Data[[#This Row],[Age]]&gt;=26,HR_Data[[#This Row],[Age]]&lt;=35),"26-35",AND(HR_Data[[#This Row],[Age]]&gt;=36,HR_Data[[#This Row],[Age]]&lt;=45),"36-45",HR_Data[[#This Row],[Age]]&gt;45,"45+")</f>
        <v>36-45</v>
      </c>
      <c r="AL5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62" spans="1:38"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f>IF(HR_Data[[#This Row],[Attrition]]="Yes",1,0)</f>
        <v>0</v>
      </c>
      <c r="AK562" t="str">
        <f>_xlfn.IFS(AND(HR_Data[[#This Row],[Age]]&gt;=18,HR_Data[[#This Row],[Age]]&lt;=25),"18-25",AND(HR_Data[[#This Row],[Age]]&gt;=26,HR_Data[[#This Row],[Age]]&lt;=35),"26-35",AND(HR_Data[[#This Row],[Age]]&gt;=36,HR_Data[[#This Row],[Age]]&lt;=45),"36-45",HR_Data[[#This Row],[Age]]&gt;45,"45+")</f>
        <v>26-35</v>
      </c>
      <c r="AL5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63" spans="1:38"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f>IF(HR_Data[[#This Row],[Attrition]]="Yes",1,0)</f>
        <v>0</v>
      </c>
      <c r="AK563" t="str">
        <f>_xlfn.IFS(AND(HR_Data[[#This Row],[Age]]&gt;=18,HR_Data[[#This Row],[Age]]&lt;=25),"18-25",AND(HR_Data[[#This Row],[Age]]&gt;=26,HR_Data[[#This Row],[Age]]&lt;=35),"26-35",AND(HR_Data[[#This Row],[Age]]&gt;=36,HR_Data[[#This Row],[Age]]&lt;=45),"36-45",HR_Data[[#This Row],[Age]]&gt;45,"45+")</f>
        <v>45+</v>
      </c>
      <c r="AL5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64" spans="1:38"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f>IF(HR_Data[[#This Row],[Attrition]]="Yes",1,0)</f>
        <v>1</v>
      </c>
      <c r="AK564" t="str">
        <f>_xlfn.IFS(AND(HR_Data[[#This Row],[Age]]&gt;=18,HR_Data[[#This Row],[Age]]&lt;=25),"18-25",AND(HR_Data[[#This Row],[Age]]&gt;=26,HR_Data[[#This Row],[Age]]&lt;=35),"26-35",AND(HR_Data[[#This Row],[Age]]&gt;=36,HR_Data[[#This Row],[Age]]&lt;=45),"36-45",HR_Data[[#This Row],[Age]]&gt;45,"45+")</f>
        <v>26-35</v>
      </c>
      <c r="AL5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65" spans="1:38"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f>IF(HR_Data[[#This Row],[Attrition]]="Yes",1,0)</f>
        <v>0</v>
      </c>
      <c r="AK565" t="str">
        <f>_xlfn.IFS(AND(HR_Data[[#This Row],[Age]]&gt;=18,HR_Data[[#This Row],[Age]]&lt;=25),"18-25",AND(HR_Data[[#This Row],[Age]]&gt;=26,HR_Data[[#This Row],[Age]]&lt;=35),"26-35",AND(HR_Data[[#This Row],[Age]]&gt;=36,HR_Data[[#This Row],[Age]]&lt;=45),"36-45",HR_Data[[#This Row],[Age]]&gt;45,"45+")</f>
        <v>18-25</v>
      </c>
      <c r="AL5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66" spans="1:38"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f>IF(HR_Data[[#This Row],[Attrition]]="Yes",1,0)</f>
        <v>0</v>
      </c>
      <c r="AK566" t="str">
        <f>_xlfn.IFS(AND(HR_Data[[#This Row],[Age]]&gt;=18,HR_Data[[#This Row],[Age]]&lt;=25),"18-25",AND(HR_Data[[#This Row],[Age]]&gt;=26,HR_Data[[#This Row],[Age]]&lt;=35),"26-35",AND(HR_Data[[#This Row],[Age]]&gt;=36,HR_Data[[#This Row],[Age]]&lt;=45),"36-45",HR_Data[[#This Row],[Age]]&gt;45,"45+")</f>
        <v>36-45</v>
      </c>
      <c r="AL5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67" spans="1:38"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f>IF(HR_Data[[#This Row],[Attrition]]="Yes",1,0)</f>
        <v>0</v>
      </c>
      <c r="AK567" t="str">
        <f>_xlfn.IFS(AND(HR_Data[[#This Row],[Age]]&gt;=18,HR_Data[[#This Row],[Age]]&lt;=25),"18-25",AND(HR_Data[[#This Row],[Age]]&gt;=26,HR_Data[[#This Row],[Age]]&lt;=35),"26-35",AND(HR_Data[[#This Row],[Age]]&gt;=36,HR_Data[[#This Row],[Age]]&lt;=45),"36-45",HR_Data[[#This Row],[Age]]&gt;45,"45+")</f>
        <v>18-25</v>
      </c>
      <c r="AL5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68" spans="1:38"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f>IF(HR_Data[[#This Row],[Attrition]]="Yes",1,0)</f>
        <v>1</v>
      </c>
      <c r="AK568" t="str">
        <f>_xlfn.IFS(AND(HR_Data[[#This Row],[Age]]&gt;=18,HR_Data[[#This Row],[Age]]&lt;=25),"18-25",AND(HR_Data[[#This Row],[Age]]&gt;=26,HR_Data[[#This Row],[Age]]&lt;=35),"26-35",AND(HR_Data[[#This Row],[Age]]&gt;=36,HR_Data[[#This Row],[Age]]&lt;=45),"36-45",HR_Data[[#This Row],[Age]]&gt;45,"45+")</f>
        <v>45+</v>
      </c>
      <c r="AL5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69" spans="1:38"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f>IF(HR_Data[[#This Row],[Attrition]]="Yes",1,0)</f>
        <v>0</v>
      </c>
      <c r="AK569" t="str">
        <f>_xlfn.IFS(AND(HR_Data[[#This Row],[Age]]&gt;=18,HR_Data[[#This Row],[Age]]&lt;=25),"18-25",AND(HR_Data[[#This Row],[Age]]&gt;=26,HR_Data[[#This Row],[Age]]&lt;=35),"26-35",AND(HR_Data[[#This Row],[Age]]&gt;=36,HR_Data[[#This Row],[Age]]&lt;=45),"36-45",HR_Data[[#This Row],[Age]]&gt;45,"45+")</f>
        <v>26-35</v>
      </c>
      <c r="AL5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70" spans="1:38"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f>IF(HR_Data[[#This Row],[Attrition]]="Yes",1,0)</f>
        <v>1</v>
      </c>
      <c r="AK570" t="str">
        <f>_xlfn.IFS(AND(HR_Data[[#This Row],[Age]]&gt;=18,HR_Data[[#This Row],[Age]]&lt;=25),"18-25",AND(HR_Data[[#This Row],[Age]]&gt;=26,HR_Data[[#This Row],[Age]]&lt;=35),"26-35",AND(HR_Data[[#This Row],[Age]]&gt;=36,HR_Data[[#This Row],[Age]]&lt;=45),"36-45",HR_Data[[#This Row],[Age]]&gt;45,"45+")</f>
        <v>45+</v>
      </c>
      <c r="AL5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71" spans="1:38"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f>IF(HR_Data[[#This Row],[Attrition]]="Yes",1,0)</f>
        <v>0</v>
      </c>
      <c r="AK571" t="str">
        <f>_xlfn.IFS(AND(HR_Data[[#This Row],[Age]]&gt;=18,HR_Data[[#This Row],[Age]]&lt;=25),"18-25",AND(HR_Data[[#This Row],[Age]]&gt;=26,HR_Data[[#This Row],[Age]]&lt;=35),"26-35",AND(HR_Data[[#This Row],[Age]]&gt;=36,HR_Data[[#This Row],[Age]]&lt;=45),"36-45",HR_Data[[#This Row],[Age]]&gt;45,"45+")</f>
        <v>36-45</v>
      </c>
      <c r="AL5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72" spans="1:38"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f>IF(HR_Data[[#This Row],[Attrition]]="Yes",1,0)</f>
        <v>0</v>
      </c>
      <c r="AK572" t="str">
        <f>_xlfn.IFS(AND(HR_Data[[#This Row],[Age]]&gt;=18,HR_Data[[#This Row],[Age]]&lt;=25),"18-25",AND(HR_Data[[#This Row],[Age]]&gt;=26,HR_Data[[#This Row],[Age]]&lt;=35),"26-35",AND(HR_Data[[#This Row],[Age]]&gt;=36,HR_Data[[#This Row],[Age]]&lt;=45),"36-45",HR_Data[[#This Row],[Age]]&gt;45,"45+")</f>
        <v>45+</v>
      </c>
      <c r="AL5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73" spans="1:38"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f>IF(HR_Data[[#This Row],[Attrition]]="Yes",1,0)</f>
        <v>0</v>
      </c>
      <c r="AK573" t="str">
        <f>_xlfn.IFS(AND(HR_Data[[#This Row],[Age]]&gt;=18,HR_Data[[#This Row],[Age]]&lt;=25),"18-25",AND(HR_Data[[#This Row],[Age]]&gt;=26,HR_Data[[#This Row],[Age]]&lt;=35),"26-35",AND(HR_Data[[#This Row],[Age]]&gt;=36,HR_Data[[#This Row],[Age]]&lt;=45),"36-45",HR_Data[[#This Row],[Age]]&gt;45,"45+")</f>
        <v>26-35</v>
      </c>
      <c r="AL5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74" spans="1:38"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f>IF(HR_Data[[#This Row],[Attrition]]="Yes",1,0)</f>
        <v>0</v>
      </c>
      <c r="AK574" t="str">
        <f>_xlfn.IFS(AND(HR_Data[[#This Row],[Age]]&gt;=18,HR_Data[[#This Row],[Age]]&lt;=25),"18-25",AND(HR_Data[[#This Row],[Age]]&gt;=26,HR_Data[[#This Row],[Age]]&lt;=35),"26-35",AND(HR_Data[[#This Row],[Age]]&gt;=36,HR_Data[[#This Row],[Age]]&lt;=45),"36-45",HR_Data[[#This Row],[Age]]&gt;45,"45+")</f>
        <v>26-35</v>
      </c>
      <c r="AL5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75" spans="1:38"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f>IF(HR_Data[[#This Row],[Attrition]]="Yes",1,0)</f>
        <v>1</v>
      </c>
      <c r="AK575" t="str">
        <f>_xlfn.IFS(AND(HR_Data[[#This Row],[Age]]&gt;=18,HR_Data[[#This Row],[Age]]&lt;=25),"18-25",AND(HR_Data[[#This Row],[Age]]&gt;=26,HR_Data[[#This Row],[Age]]&lt;=35),"26-35",AND(HR_Data[[#This Row],[Age]]&gt;=36,HR_Data[[#This Row],[Age]]&lt;=45),"36-45",HR_Data[[#This Row],[Age]]&gt;45,"45+")</f>
        <v>26-35</v>
      </c>
      <c r="AL5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76" spans="1:38"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f>IF(HR_Data[[#This Row],[Attrition]]="Yes",1,0)</f>
        <v>0</v>
      </c>
      <c r="AK576" t="str">
        <f>_xlfn.IFS(AND(HR_Data[[#This Row],[Age]]&gt;=18,HR_Data[[#This Row],[Age]]&lt;=25),"18-25",AND(HR_Data[[#This Row],[Age]]&gt;=26,HR_Data[[#This Row],[Age]]&lt;=35),"26-35",AND(HR_Data[[#This Row],[Age]]&gt;=36,HR_Data[[#This Row],[Age]]&lt;=45),"36-45",HR_Data[[#This Row],[Age]]&gt;45,"45+")</f>
        <v>26-35</v>
      </c>
      <c r="AL5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77" spans="1:38"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f>IF(HR_Data[[#This Row],[Attrition]]="Yes",1,0)</f>
        <v>0</v>
      </c>
      <c r="AK577" t="str">
        <f>_xlfn.IFS(AND(HR_Data[[#This Row],[Age]]&gt;=18,HR_Data[[#This Row],[Age]]&lt;=25),"18-25",AND(HR_Data[[#This Row],[Age]]&gt;=26,HR_Data[[#This Row],[Age]]&lt;=35),"26-35",AND(HR_Data[[#This Row],[Age]]&gt;=36,HR_Data[[#This Row],[Age]]&lt;=45),"36-45",HR_Data[[#This Row],[Age]]&gt;45,"45+")</f>
        <v>45+</v>
      </c>
      <c r="AL5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78" spans="1:38"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f>IF(HR_Data[[#This Row],[Attrition]]="Yes",1,0)</f>
        <v>0</v>
      </c>
      <c r="AK578" t="str">
        <f>_xlfn.IFS(AND(HR_Data[[#This Row],[Age]]&gt;=18,HR_Data[[#This Row],[Age]]&lt;=25),"18-25",AND(HR_Data[[#This Row],[Age]]&gt;=26,HR_Data[[#This Row],[Age]]&lt;=35),"26-35",AND(HR_Data[[#This Row],[Age]]&gt;=36,HR_Data[[#This Row],[Age]]&lt;=45),"36-45",HR_Data[[#This Row],[Age]]&gt;45,"45+")</f>
        <v>26-35</v>
      </c>
      <c r="AL5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79" spans="1:38"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f>IF(HR_Data[[#This Row],[Attrition]]="Yes",1,0)</f>
        <v>0</v>
      </c>
      <c r="AK579" t="str">
        <f>_xlfn.IFS(AND(HR_Data[[#This Row],[Age]]&gt;=18,HR_Data[[#This Row],[Age]]&lt;=25),"18-25",AND(HR_Data[[#This Row],[Age]]&gt;=26,HR_Data[[#This Row],[Age]]&lt;=35),"26-35",AND(HR_Data[[#This Row],[Age]]&gt;=36,HR_Data[[#This Row],[Age]]&lt;=45),"36-45",HR_Data[[#This Row],[Age]]&gt;45,"45+")</f>
        <v>36-45</v>
      </c>
      <c r="AL5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80" spans="1:38"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f>IF(HR_Data[[#This Row],[Attrition]]="Yes",1,0)</f>
        <v>0</v>
      </c>
      <c r="AK580" t="str">
        <f>_xlfn.IFS(AND(HR_Data[[#This Row],[Age]]&gt;=18,HR_Data[[#This Row],[Age]]&lt;=25),"18-25",AND(HR_Data[[#This Row],[Age]]&gt;=26,HR_Data[[#This Row],[Age]]&lt;=35),"26-35",AND(HR_Data[[#This Row],[Age]]&gt;=36,HR_Data[[#This Row],[Age]]&lt;=45),"36-45",HR_Data[[#This Row],[Age]]&gt;45,"45+")</f>
        <v>36-45</v>
      </c>
      <c r="AL5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81" spans="1:38"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f>IF(HR_Data[[#This Row],[Attrition]]="Yes",1,0)</f>
        <v>0</v>
      </c>
      <c r="AK581" t="str">
        <f>_xlfn.IFS(AND(HR_Data[[#This Row],[Age]]&gt;=18,HR_Data[[#This Row],[Age]]&lt;=25),"18-25",AND(HR_Data[[#This Row],[Age]]&gt;=26,HR_Data[[#This Row],[Age]]&lt;=35),"26-35",AND(HR_Data[[#This Row],[Age]]&gt;=36,HR_Data[[#This Row],[Age]]&lt;=45),"36-45",HR_Data[[#This Row],[Age]]&gt;45,"45+")</f>
        <v>26-35</v>
      </c>
      <c r="AL5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82" spans="1:38"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f>IF(HR_Data[[#This Row],[Attrition]]="Yes",1,0)</f>
        <v>0</v>
      </c>
      <c r="AK582" t="str">
        <f>_xlfn.IFS(AND(HR_Data[[#This Row],[Age]]&gt;=18,HR_Data[[#This Row],[Age]]&lt;=25),"18-25",AND(HR_Data[[#This Row],[Age]]&gt;=26,HR_Data[[#This Row],[Age]]&lt;=35),"26-35",AND(HR_Data[[#This Row],[Age]]&gt;=36,HR_Data[[#This Row],[Age]]&lt;=45),"36-45",HR_Data[[#This Row],[Age]]&gt;45,"45+")</f>
        <v>26-35</v>
      </c>
      <c r="AL5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83" spans="1:38"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f>IF(HR_Data[[#This Row],[Attrition]]="Yes",1,0)</f>
        <v>0</v>
      </c>
      <c r="AK583" t="str">
        <f>_xlfn.IFS(AND(HR_Data[[#This Row],[Age]]&gt;=18,HR_Data[[#This Row],[Age]]&lt;=25),"18-25",AND(HR_Data[[#This Row],[Age]]&gt;=26,HR_Data[[#This Row],[Age]]&lt;=35),"26-35",AND(HR_Data[[#This Row],[Age]]&gt;=36,HR_Data[[#This Row],[Age]]&lt;=45),"36-45",HR_Data[[#This Row],[Age]]&gt;45,"45+")</f>
        <v>26-35</v>
      </c>
      <c r="AL5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84" spans="1:38"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f>IF(HR_Data[[#This Row],[Attrition]]="Yes",1,0)</f>
        <v>0</v>
      </c>
      <c r="AK584" t="str">
        <f>_xlfn.IFS(AND(HR_Data[[#This Row],[Age]]&gt;=18,HR_Data[[#This Row],[Age]]&lt;=25),"18-25",AND(HR_Data[[#This Row],[Age]]&gt;=26,HR_Data[[#This Row],[Age]]&lt;=35),"26-35",AND(HR_Data[[#This Row],[Age]]&gt;=36,HR_Data[[#This Row],[Age]]&lt;=45),"36-45",HR_Data[[#This Row],[Age]]&gt;45,"45+")</f>
        <v>36-45</v>
      </c>
      <c r="AL5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85" spans="1:38"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f>IF(HR_Data[[#This Row],[Attrition]]="Yes",1,0)</f>
        <v>0</v>
      </c>
      <c r="AK585" t="str">
        <f>_xlfn.IFS(AND(HR_Data[[#This Row],[Age]]&gt;=18,HR_Data[[#This Row],[Age]]&lt;=25),"18-25",AND(HR_Data[[#This Row],[Age]]&gt;=26,HR_Data[[#This Row],[Age]]&lt;=35),"26-35",AND(HR_Data[[#This Row],[Age]]&gt;=36,HR_Data[[#This Row],[Age]]&lt;=45),"36-45",HR_Data[[#This Row],[Age]]&gt;45,"45+")</f>
        <v>26-35</v>
      </c>
      <c r="AL5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86" spans="1:38"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f>IF(HR_Data[[#This Row],[Attrition]]="Yes",1,0)</f>
        <v>0</v>
      </c>
      <c r="AK586" t="str">
        <f>_xlfn.IFS(AND(HR_Data[[#This Row],[Age]]&gt;=18,HR_Data[[#This Row],[Age]]&lt;=25),"18-25",AND(HR_Data[[#This Row],[Age]]&gt;=26,HR_Data[[#This Row],[Age]]&lt;=35),"26-35",AND(HR_Data[[#This Row],[Age]]&gt;=36,HR_Data[[#This Row],[Age]]&lt;=45),"36-45",HR_Data[[#This Row],[Age]]&gt;45,"45+")</f>
        <v>36-45</v>
      </c>
      <c r="AL5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87" spans="1:38"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f>IF(HR_Data[[#This Row],[Attrition]]="Yes",1,0)</f>
        <v>1</v>
      </c>
      <c r="AK587" t="str">
        <f>_xlfn.IFS(AND(HR_Data[[#This Row],[Age]]&gt;=18,HR_Data[[#This Row],[Age]]&lt;=25),"18-25",AND(HR_Data[[#This Row],[Age]]&gt;=26,HR_Data[[#This Row],[Age]]&lt;=35),"26-35",AND(HR_Data[[#This Row],[Age]]&gt;=36,HR_Data[[#This Row],[Age]]&lt;=45),"36-45",HR_Data[[#This Row],[Age]]&gt;45,"45+")</f>
        <v>18-25</v>
      </c>
      <c r="AL5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88" spans="1:38"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f>IF(HR_Data[[#This Row],[Attrition]]="Yes",1,0)</f>
        <v>0</v>
      </c>
      <c r="AK588" t="str">
        <f>_xlfn.IFS(AND(HR_Data[[#This Row],[Age]]&gt;=18,HR_Data[[#This Row],[Age]]&lt;=25),"18-25",AND(HR_Data[[#This Row],[Age]]&gt;=26,HR_Data[[#This Row],[Age]]&lt;=35),"26-35",AND(HR_Data[[#This Row],[Age]]&gt;=36,HR_Data[[#This Row],[Age]]&lt;=45),"36-45",HR_Data[[#This Row],[Age]]&gt;45,"45+")</f>
        <v>18-25</v>
      </c>
      <c r="AL5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89" spans="1:38"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f>IF(HR_Data[[#This Row],[Attrition]]="Yes",1,0)</f>
        <v>0</v>
      </c>
      <c r="AK589" t="str">
        <f>_xlfn.IFS(AND(HR_Data[[#This Row],[Age]]&gt;=18,HR_Data[[#This Row],[Age]]&lt;=25),"18-25",AND(HR_Data[[#This Row],[Age]]&gt;=26,HR_Data[[#This Row],[Age]]&lt;=35),"26-35",AND(HR_Data[[#This Row],[Age]]&gt;=36,HR_Data[[#This Row],[Age]]&lt;=45),"36-45",HR_Data[[#This Row],[Age]]&gt;45,"45+")</f>
        <v>45+</v>
      </c>
      <c r="AL5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90" spans="1:38"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f>IF(HR_Data[[#This Row],[Attrition]]="Yes",1,0)</f>
        <v>0</v>
      </c>
      <c r="AK590" t="str">
        <f>_xlfn.IFS(AND(HR_Data[[#This Row],[Age]]&gt;=18,HR_Data[[#This Row],[Age]]&lt;=25),"18-25",AND(HR_Data[[#This Row],[Age]]&gt;=26,HR_Data[[#This Row],[Age]]&lt;=35),"26-35",AND(HR_Data[[#This Row],[Age]]&gt;=36,HR_Data[[#This Row],[Age]]&lt;=45),"36-45",HR_Data[[#This Row],[Age]]&gt;45,"45+")</f>
        <v>45+</v>
      </c>
      <c r="AL5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91" spans="1:38"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f>IF(HR_Data[[#This Row],[Attrition]]="Yes",1,0)</f>
        <v>1</v>
      </c>
      <c r="AK591" t="str">
        <f>_xlfn.IFS(AND(HR_Data[[#This Row],[Age]]&gt;=18,HR_Data[[#This Row],[Age]]&lt;=25),"18-25",AND(HR_Data[[#This Row],[Age]]&gt;=26,HR_Data[[#This Row],[Age]]&lt;=35),"26-35",AND(HR_Data[[#This Row],[Age]]&gt;=36,HR_Data[[#This Row],[Age]]&lt;=45),"36-45",HR_Data[[#This Row],[Age]]&gt;45,"45+")</f>
        <v>26-35</v>
      </c>
      <c r="AL5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92" spans="1:38"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f>IF(HR_Data[[#This Row],[Attrition]]="Yes",1,0)</f>
        <v>0</v>
      </c>
      <c r="AK592" t="str">
        <f>_xlfn.IFS(AND(HR_Data[[#This Row],[Age]]&gt;=18,HR_Data[[#This Row],[Age]]&lt;=25),"18-25",AND(HR_Data[[#This Row],[Age]]&gt;=26,HR_Data[[#This Row],[Age]]&lt;=35),"26-35",AND(HR_Data[[#This Row],[Age]]&gt;=36,HR_Data[[#This Row],[Age]]&lt;=45),"36-45",HR_Data[[#This Row],[Age]]&gt;45,"45+")</f>
        <v>26-35</v>
      </c>
      <c r="AL5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93" spans="1:38"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f>IF(HR_Data[[#This Row],[Attrition]]="Yes",1,0)</f>
        <v>1</v>
      </c>
      <c r="AK593" t="str">
        <f>_xlfn.IFS(AND(HR_Data[[#This Row],[Age]]&gt;=18,HR_Data[[#This Row],[Age]]&lt;=25),"18-25",AND(HR_Data[[#This Row],[Age]]&gt;=26,HR_Data[[#This Row],[Age]]&lt;=35),"26-35",AND(HR_Data[[#This Row],[Age]]&gt;=36,HR_Data[[#This Row],[Age]]&lt;=45),"36-45",HR_Data[[#This Row],[Age]]&gt;45,"45+")</f>
        <v>26-35</v>
      </c>
      <c r="AL5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594" spans="1:38"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f>IF(HR_Data[[#This Row],[Attrition]]="Yes",1,0)</f>
        <v>0</v>
      </c>
      <c r="AK594" t="str">
        <f>_xlfn.IFS(AND(HR_Data[[#This Row],[Age]]&gt;=18,HR_Data[[#This Row],[Age]]&lt;=25),"18-25",AND(HR_Data[[#This Row],[Age]]&gt;=26,HR_Data[[#This Row],[Age]]&lt;=35),"26-35",AND(HR_Data[[#This Row],[Age]]&gt;=36,HR_Data[[#This Row],[Age]]&lt;=45),"36-45",HR_Data[[#This Row],[Age]]&gt;45,"45+")</f>
        <v>45+</v>
      </c>
      <c r="AL5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95" spans="1:38"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f>IF(HR_Data[[#This Row],[Attrition]]="Yes",1,0)</f>
        <v>0</v>
      </c>
      <c r="AK595" t="str">
        <f>_xlfn.IFS(AND(HR_Data[[#This Row],[Age]]&gt;=18,HR_Data[[#This Row],[Age]]&lt;=25),"18-25",AND(HR_Data[[#This Row],[Age]]&gt;=26,HR_Data[[#This Row],[Age]]&lt;=35),"26-35",AND(HR_Data[[#This Row],[Age]]&gt;=36,HR_Data[[#This Row],[Age]]&lt;=45),"36-45",HR_Data[[#This Row],[Age]]&gt;45,"45+")</f>
        <v>36-45</v>
      </c>
      <c r="AL5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96" spans="1:38"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f>IF(HR_Data[[#This Row],[Attrition]]="Yes",1,0)</f>
        <v>0</v>
      </c>
      <c r="AK596" t="str">
        <f>_xlfn.IFS(AND(HR_Data[[#This Row],[Age]]&gt;=18,HR_Data[[#This Row],[Age]]&lt;=25),"18-25",AND(HR_Data[[#This Row],[Age]]&gt;=26,HR_Data[[#This Row],[Age]]&lt;=35),"26-35",AND(HR_Data[[#This Row],[Age]]&gt;=36,HR_Data[[#This Row],[Age]]&lt;=45),"36-45",HR_Data[[#This Row],[Age]]&gt;45,"45+")</f>
        <v>26-35</v>
      </c>
      <c r="AL5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597" spans="1:38"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f>IF(HR_Data[[#This Row],[Attrition]]="Yes",1,0)</f>
        <v>1</v>
      </c>
      <c r="AK597" t="str">
        <f>_xlfn.IFS(AND(HR_Data[[#This Row],[Age]]&gt;=18,HR_Data[[#This Row],[Age]]&lt;=25),"18-25",AND(HR_Data[[#This Row],[Age]]&gt;=26,HR_Data[[#This Row],[Age]]&lt;=35),"26-35",AND(HR_Data[[#This Row],[Age]]&gt;=36,HR_Data[[#This Row],[Age]]&lt;=45),"36-45",HR_Data[[#This Row],[Age]]&gt;45,"45+")</f>
        <v>45+</v>
      </c>
      <c r="AL5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598" spans="1:38"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f>IF(HR_Data[[#This Row],[Attrition]]="Yes",1,0)</f>
        <v>0</v>
      </c>
      <c r="AK598" t="str">
        <f>_xlfn.IFS(AND(HR_Data[[#This Row],[Age]]&gt;=18,HR_Data[[#This Row],[Age]]&lt;=25),"18-25",AND(HR_Data[[#This Row],[Age]]&gt;=26,HR_Data[[#This Row],[Age]]&lt;=35),"26-35",AND(HR_Data[[#This Row],[Age]]&gt;=36,HR_Data[[#This Row],[Age]]&lt;=45),"36-45",HR_Data[[#This Row],[Age]]&gt;45,"45+")</f>
        <v>26-35</v>
      </c>
      <c r="AL5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599" spans="1:38"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f>IF(HR_Data[[#This Row],[Attrition]]="Yes",1,0)</f>
        <v>0</v>
      </c>
      <c r="AK599" t="str">
        <f>_xlfn.IFS(AND(HR_Data[[#This Row],[Age]]&gt;=18,HR_Data[[#This Row],[Age]]&lt;=25),"18-25",AND(HR_Data[[#This Row],[Age]]&gt;=26,HR_Data[[#This Row],[Age]]&lt;=35),"26-35",AND(HR_Data[[#This Row],[Age]]&gt;=36,HR_Data[[#This Row],[Age]]&lt;=45),"36-45",HR_Data[[#This Row],[Age]]&gt;45,"45+")</f>
        <v>36-45</v>
      </c>
      <c r="AL5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00" spans="1:38"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f>IF(HR_Data[[#This Row],[Attrition]]="Yes",1,0)</f>
        <v>1</v>
      </c>
      <c r="AK600" t="str">
        <f>_xlfn.IFS(AND(HR_Data[[#This Row],[Age]]&gt;=18,HR_Data[[#This Row],[Age]]&lt;=25),"18-25",AND(HR_Data[[#This Row],[Age]]&gt;=26,HR_Data[[#This Row],[Age]]&lt;=35),"26-35",AND(HR_Data[[#This Row],[Age]]&gt;=36,HR_Data[[#This Row],[Age]]&lt;=45),"36-45",HR_Data[[#This Row],[Age]]&gt;45,"45+")</f>
        <v>26-35</v>
      </c>
      <c r="AL6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01" spans="1:38"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f>IF(HR_Data[[#This Row],[Attrition]]="Yes",1,0)</f>
        <v>0</v>
      </c>
      <c r="AK601" t="str">
        <f>_xlfn.IFS(AND(HR_Data[[#This Row],[Age]]&gt;=18,HR_Data[[#This Row],[Age]]&lt;=25),"18-25",AND(HR_Data[[#This Row],[Age]]&gt;=26,HR_Data[[#This Row],[Age]]&lt;=35),"26-35",AND(HR_Data[[#This Row],[Age]]&gt;=36,HR_Data[[#This Row],[Age]]&lt;=45),"36-45",HR_Data[[#This Row],[Age]]&gt;45,"45+")</f>
        <v>36-45</v>
      </c>
      <c r="AL6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02" spans="1:38"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f>IF(HR_Data[[#This Row],[Attrition]]="Yes",1,0)</f>
        <v>0</v>
      </c>
      <c r="AK602" t="str">
        <f>_xlfn.IFS(AND(HR_Data[[#This Row],[Age]]&gt;=18,HR_Data[[#This Row],[Age]]&lt;=25),"18-25",AND(HR_Data[[#This Row],[Age]]&gt;=26,HR_Data[[#This Row],[Age]]&lt;=35),"26-35",AND(HR_Data[[#This Row],[Age]]&gt;=36,HR_Data[[#This Row],[Age]]&lt;=45),"36-45",HR_Data[[#This Row],[Age]]&gt;45,"45+")</f>
        <v>26-35</v>
      </c>
      <c r="AL6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03" spans="1:38"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f>IF(HR_Data[[#This Row],[Attrition]]="Yes",1,0)</f>
        <v>0</v>
      </c>
      <c r="AK603" t="str">
        <f>_xlfn.IFS(AND(HR_Data[[#This Row],[Age]]&gt;=18,HR_Data[[#This Row],[Age]]&lt;=25),"18-25",AND(HR_Data[[#This Row],[Age]]&gt;=26,HR_Data[[#This Row],[Age]]&lt;=35),"26-35",AND(HR_Data[[#This Row],[Age]]&gt;=36,HR_Data[[#This Row],[Age]]&lt;=45),"36-45",HR_Data[[#This Row],[Age]]&gt;45,"45+")</f>
        <v>36-45</v>
      </c>
      <c r="AL6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04" spans="1:38"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f>IF(HR_Data[[#This Row],[Attrition]]="Yes",1,0)</f>
        <v>0</v>
      </c>
      <c r="AK604" t="str">
        <f>_xlfn.IFS(AND(HR_Data[[#This Row],[Age]]&gt;=18,HR_Data[[#This Row],[Age]]&lt;=25),"18-25",AND(HR_Data[[#This Row],[Age]]&gt;=26,HR_Data[[#This Row],[Age]]&lt;=35),"26-35",AND(HR_Data[[#This Row],[Age]]&gt;=36,HR_Data[[#This Row],[Age]]&lt;=45),"36-45",HR_Data[[#This Row],[Age]]&gt;45,"45+")</f>
        <v>26-35</v>
      </c>
      <c r="AL6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05" spans="1:38"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f>IF(HR_Data[[#This Row],[Attrition]]="Yes",1,0)</f>
        <v>0</v>
      </c>
      <c r="AK605" t="str">
        <f>_xlfn.IFS(AND(HR_Data[[#This Row],[Age]]&gt;=18,HR_Data[[#This Row],[Age]]&lt;=25),"18-25",AND(HR_Data[[#This Row],[Age]]&gt;=26,HR_Data[[#This Row],[Age]]&lt;=35),"26-35",AND(HR_Data[[#This Row],[Age]]&gt;=36,HR_Data[[#This Row],[Age]]&lt;=45),"36-45",HR_Data[[#This Row],[Age]]&gt;45,"45+")</f>
        <v>36-45</v>
      </c>
      <c r="AL6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06" spans="1:38"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f>IF(HR_Data[[#This Row],[Attrition]]="Yes",1,0)</f>
        <v>0</v>
      </c>
      <c r="AK606" t="str">
        <f>_xlfn.IFS(AND(HR_Data[[#This Row],[Age]]&gt;=18,HR_Data[[#This Row],[Age]]&lt;=25),"18-25",AND(HR_Data[[#This Row],[Age]]&gt;=26,HR_Data[[#This Row],[Age]]&lt;=35),"26-35",AND(HR_Data[[#This Row],[Age]]&gt;=36,HR_Data[[#This Row],[Age]]&lt;=45),"36-45",HR_Data[[#This Row],[Age]]&gt;45,"45+")</f>
        <v>36-45</v>
      </c>
      <c r="AL6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07" spans="1:38"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f>IF(HR_Data[[#This Row],[Attrition]]="Yes",1,0)</f>
        <v>0</v>
      </c>
      <c r="AK607" t="str">
        <f>_xlfn.IFS(AND(HR_Data[[#This Row],[Age]]&gt;=18,HR_Data[[#This Row],[Age]]&lt;=25),"18-25",AND(HR_Data[[#This Row],[Age]]&gt;=26,HR_Data[[#This Row],[Age]]&lt;=35),"26-35",AND(HR_Data[[#This Row],[Age]]&gt;=36,HR_Data[[#This Row],[Age]]&lt;=45),"36-45",HR_Data[[#This Row],[Age]]&gt;45,"45+")</f>
        <v>36-45</v>
      </c>
      <c r="AL6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08" spans="1:38"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f>IF(HR_Data[[#This Row],[Attrition]]="Yes",1,0)</f>
        <v>0</v>
      </c>
      <c r="AK608" t="str">
        <f>_xlfn.IFS(AND(HR_Data[[#This Row],[Age]]&gt;=18,HR_Data[[#This Row],[Age]]&lt;=25),"18-25",AND(HR_Data[[#This Row],[Age]]&gt;=26,HR_Data[[#This Row],[Age]]&lt;=35),"26-35",AND(HR_Data[[#This Row],[Age]]&gt;=36,HR_Data[[#This Row],[Age]]&lt;=45),"36-45",HR_Data[[#This Row],[Age]]&gt;45,"45+")</f>
        <v>26-35</v>
      </c>
      <c r="AL6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09" spans="1:38"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f>IF(HR_Data[[#This Row],[Attrition]]="Yes",1,0)</f>
        <v>1</v>
      </c>
      <c r="AK609" t="str">
        <f>_xlfn.IFS(AND(HR_Data[[#This Row],[Age]]&gt;=18,HR_Data[[#This Row],[Age]]&lt;=25),"18-25",AND(HR_Data[[#This Row],[Age]]&gt;=26,HR_Data[[#This Row],[Age]]&lt;=35),"26-35",AND(HR_Data[[#This Row],[Age]]&gt;=36,HR_Data[[#This Row],[Age]]&lt;=45),"36-45",HR_Data[[#This Row],[Age]]&gt;45,"45+")</f>
        <v>45+</v>
      </c>
      <c r="AL6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10" spans="1:38"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f>IF(HR_Data[[#This Row],[Attrition]]="Yes",1,0)</f>
        <v>1</v>
      </c>
      <c r="AK610" t="str">
        <f>_xlfn.IFS(AND(HR_Data[[#This Row],[Age]]&gt;=18,HR_Data[[#This Row],[Age]]&lt;=25),"18-25",AND(HR_Data[[#This Row],[Age]]&gt;=26,HR_Data[[#This Row],[Age]]&lt;=35),"26-35",AND(HR_Data[[#This Row],[Age]]&gt;=36,HR_Data[[#This Row],[Age]]&lt;=45),"36-45",HR_Data[[#This Row],[Age]]&gt;45,"45+")</f>
        <v>45+</v>
      </c>
      <c r="AL6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11" spans="1:38"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f>IF(HR_Data[[#This Row],[Attrition]]="Yes",1,0)</f>
        <v>0</v>
      </c>
      <c r="AK611" t="str">
        <f>_xlfn.IFS(AND(HR_Data[[#This Row],[Age]]&gt;=18,HR_Data[[#This Row],[Age]]&lt;=25),"18-25",AND(HR_Data[[#This Row],[Age]]&gt;=26,HR_Data[[#This Row],[Age]]&lt;=35),"26-35",AND(HR_Data[[#This Row],[Age]]&gt;=36,HR_Data[[#This Row],[Age]]&lt;=45),"36-45",HR_Data[[#This Row],[Age]]&gt;45,"45+")</f>
        <v>36-45</v>
      </c>
      <c r="AL6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12" spans="1:38"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f>IF(HR_Data[[#This Row],[Attrition]]="Yes",1,0)</f>
        <v>0</v>
      </c>
      <c r="AK612" t="str">
        <f>_xlfn.IFS(AND(HR_Data[[#This Row],[Age]]&gt;=18,HR_Data[[#This Row],[Age]]&lt;=25),"18-25",AND(HR_Data[[#This Row],[Age]]&gt;=26,HR_Data[[#This Row],[Age]]&lt;=35),"26-35",AND(HR_Data[[#This Row],[Age]]&gt;=36,HR_Data[[#This Row],[Age]]&lt;=45),"36-45",HR_Data[[#This Row],[Age]]&gt;45,"45+")</f>
        <v>26-35</v>
      </c>
      <c r="AL6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13" spans="1:38"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f>IF(HR_Data[[#This Row],[Attrition]]="Yes",1,0)</f>
        <v>0</v>
      </c>
      <c r="AK613" t="str">
        <f>_xlfn.IFS(AND(HR_Data[[#This Row],[Age]]&gt;=18,HR_Data[[#This Row],[Age]]&lt;=25),"18-25",AND(HR_Data[[#This Row],[Age]]&gt;=26,HR_Data[[#This Row],[Age]]&lt;=35),"26-35",AND(HR_Data[[#This Row],[Age]]&gt;=36,HR_Data[[#This Row],[Age]]&lt;=45),"36-45",HR_Data[[#This Row],[Age]]&gt;45,"45+")</f>
        <v>26-35</v>
      </c>
      <c r="AL6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14" spans="1:38"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f>IF(HR_Data[[#This Row],[Attrition]]="Yes",1,0)</f>
        <v>0</v>
      </c>
      <c r="AK614" t="str">
        <f>_xlfn.IFS(AND(HR_Data[[#This Row],[Age]]&gt;=18,HR_Data[[#This Row],[Age]]&lt;=25),"18-25",AND(HR_Data[[#This Row],[Age]]&gt;=26,HR_Data[[#This Row],[Age]]&lt;=35),"26-35",AND(HR_Data[[#This Row],[Age]]&gt;=36,HR_Data[[#This Row],[Age]]&lt;=45),"36-45",HR_Data[[#This Row],[Age]]&gt;45,"45+")</f>
        <v>26-35</v>
      </c>
      <c r="AL6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15" spans="1:38"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f>IF(HR_Data[[#This Row],[Attrition]]="Yes",1,0)</f>
        <v>0</v>
      </c>
      <c r="AK615" t="str">
        <f>_xlfn.IFS(AND(HR_Data[[#This Row],[Age]]&gt;=18,HR_Data[[#This Row],[Age]]&lt;=25),"18-25",AND(HR_Data[[#This Row],[Age]]&gt;=26,HR_Data[[#This Row],[Age]]&lt;=35),"26-35",AND(HR_Data[[#This Row],[Age]]&gt;=36,HR_Data[[#This Row],[Age]]&lt;=45),"36-45",HR_Data[[#This Row],[Age]]&gt;45,"45+")</f>
        <v>26-35</v>
      </c>
      <c r="AL6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16" spans="1:38"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f>IF(HR_Data[[#This Row],[Attrition]]="Yes",1,0)</f>
        <v>1</v>
      </c>
      <c r="AK616" t="str">
        <f>_xlfn.IFS(AND(HR_Data[[#This Row],[Age]]&gt;=18,HR_Data[[#This Row],[Age]]&lt;=25),"18-25",AND(HR_Data[[#This Row],[Age]]&gt;=26,HR_Data[[#This Row],[Age]]&lt;=35),"26-35",AND(HR_Data[[#This Row],[Age]]&gt;=36,HR_Data[[#This Row],[Age]]&lt;=45),"36-45",HR_Data[[#This Row],[Age]]&gt;45,"45+")</f>
        <v>26-35</v>
      </c>
      <c r="AL6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17" spans="1:38"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f>IF(HR_Data[[#This Row],[Attrition]]="Yes",1,0)</f>
        <v>0</v>
      </c>
      <c r="AK617" t="str">
        <f>_xlfn.IFS(AND(HR_Data[[#This Row],[Age]]&gt;=18,HR_Data[[#This Row],[Age]]&lt;=25),"18-25",AND(HR_Data[[#This Row],[Age]]&gt;=26,HR_Data[[#This Row],[Age]]&lt;=35),"26-35",AND(HR_Data[[#This Row],[Age]]&gt;=36,HR_Data[[#This Row],[Age]]&lt;=45),"36-45",HR_Data[[#This Row],[Age]]&gt;45,"45+")</f>
        <v>26-35</v>
      </c>
      <c r="AL6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18" spans="1:38"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f>IF(HR_Data[[#This Row],[Attrition]]="Yes",1,0)</f>
        <v>0</v>
      </c>
      <c r="AK618" t="str">
        <f>_xlfn.IFS(AND(HR_Data[[#This Row],[Age]]&gt;=18,HR_Data[[#This Row],[Age]]&lt;=25),"18-25",AND(HR_Data[[#This Row],[Age]]&gt;=26,HR_Data[[#This Row],[Age]]&lt;=35),"26-35",AND(HR_Data[[#This Row],[Age]]&gt;=36,HR_Data[[#This Row],[Age]]&lt;=45),"36-45",HR_Data[[#This Row],[Age]]&gt;45,"45+")</f>
        <v>45+</v>
      </c>
      <c r="AL6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19" spans="1:38"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f>IF(HR_Data[[#This Row],[Attrition]]="Yes",1,0)</f>
        <v>0</v>
      </c>
      <c r="AK619" t="str">
        <f>_xlfn.IFS(AND(HR_Data[[#This Row],[Age]]&gt;=18,HR_Data[[#This Row],[Age]]&lt;=25),"18-25",AND(HR_Data[[#This Row],[Age]]&gt;=26,HR_Data[[#This Row],[Age]]&lt;=35),"26-35",AND(HR_Data[[#This Row],[Age]]&gt;=36,HR_Data[[#This Row],[Age]]&lt;=45),"36-45",HR_Data[[#This Row],[Age]]&gt;45,"45+")</f>
        <v>36-45</v>
      </c>
      <c r="AL6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20" spans="1:38"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f>IF(HR_Data[[#This Row],[Attrition]]="Yes",1,0)</f>
        <v>0</v>
      </c>
      <c r="AK620" t="str">
        <f>_xlfn.IFS(AND(HR_Data[[#This Row],[Age]]&gt;=18,HR_Data[[#This Row],[Age]]&lt;=25),"18-25",AND(HR_Data[[#This Row],[Age]]&gt;=26,HR_Data[[#This Row],[Age]]&lt;=35),"26-35",AND(HR_Data[[#This Row],[Age]]&gt;=36,HR_Data[[#This Row],[Age]]&lt;=45),"36-45",HR_Data[[#This Row],[Age]]&gt;45,"45+")</f>
        <v>18-25</v>
      </c>
      <c r="AL6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21" spans="1:38"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f>IF(HR_Data[[#This Row],[Attrition]]="Yes",1,0)</f>
        <v>0</v>
      </c>
      <c r="AK621" t="str">
        <f>_xlfn.IFS(AND(HR_Data[[#This Row],[Age]]&gt;=18,HR_Data[[#This Row],[Age]]&lt;=25),"18-25",AND(HR_Data[[#This Row],[Age]]&gt;=26,HR_Data[[#This Row],[Age]]&lt;=35),"26-35",AND(HR_Data[[#This Row],[Age]]&gt;=36,HR_Data[[#This Row],[Age]]&lt;=45),"36-45",HR_Data[[#This Row],[Age]]&gt;45,"45+")</f>
        <v>26-35</v>
      </c>
      <c r="AL6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22" spans="1:38"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f>IF(HR_Data[[#This Row],[Attrition]]="Yes",1,0)</f>
        <v>0</v>
      </c>
      <c r="AK622" t="str">
        <f>_xlfn.IFS(AND(HR_Data[[#This Row],[Age]]&gt;=18,HR_Data[[#This Row],[Age]]&lt;=25),"18-25",AND(HR_Data[[#This Row],[Age]]&gt;=26,HR_Data[[#This Row],[Age]]&lt;=35),"26-35",AND(HR_Data[[#This Row],[Age]]&gt;=36,HR_Data[[#This Row],[Age]]&lt;=45),"36-45",HR_Data[[#This Row],[Age]]&gt;45,"45+")</f>
        <v>26-35</v>
      </c>
      <c r="AL6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23" spans="1:38"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f>IF(HR_Data[[#This Row],[Attrition]]="Yes",1,0)</f>
        <v>0</v>
      </c>
      <c r="AK623" t="str">
        <f>_xlfn.IFS(AND(HR_Data[[#This Row],[Age]]&gt;=18,HR_Data[[#This Row],[Age]]&lt;=25),"18-25",AND(HR_Data[[#This Row],[Age]]&gt;=26,HR_Data[[#This Row],[Age]]&lt;=35),"26-35",AND(HR_Data[[#This Row],[Age]]&gt;=36,HR_Data[[#This Row],[Age]]&lt;=45),"36-45",HR_Data[[#This Row],[Age]]&gt;45,"45+")</f>
        <v>36-45</v>
      </c>
      <c r="AL6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24" spans="1:38"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f>IF(HR_Data[[#This Row],[Attrition]]="Yes",1,0)</f>
        <v>0</v>
      </c>
      <c r="AK624" t="str">
        <f>_xlfn.IFS(AND(HR_Data[[#This Row],[Age]]&gt;=18,HR_Data[[#This Row],[Age]]&lt;=25),"18-25",AND(HR_Data[[#This Row],[Age]]&gt;=26,HR_Data[[#This Row],[Age]]&lt;=35),"26-35",AND(HR_Data[[#This Row],[Age]]&gt;=36,HR_Data[[#This Row],[Age]]&lt;=45),"36-45",HR_Data[[#This Row],[Age]]&gt;45,"45+")</f>
        <v>26-35</v>
      </c>
      <c r="AL6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25" spans="1:38"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f>IF(HR_Data[[#This Row],[Attrition]]="Yes",1,0)</f>
        <v>0</v>
      </c>
      <c r="AK625" t="str">
        <f>_xlfn.IFS(AND(HR_Data[[#This Row],[Age]]&gt;=18,HR_Data[[#This Row],[Age]]&lt;=25),"18-25",AND(HR_Data[[#This Row],[Age]]&gt;=26,HR_Data[[#This Row],[Age]]&lt;=35),"26-35",AND(HR_Data[[#This Row],[Age]]&gt;=36,HR_Data[[#This Row],[Age]]&lt;=45),"36-45",HR_Data[[#This Row],[Age]]&gt;45,"45+")</f>
        <v>26-35</v>
      </c>
      <c r="AL6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26" spans="1:38"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f>IF(HR_Data[[#This Row],[Attrition]]="Yes",1,0)</f>
        <v>0</v>
      </c>
      <c r="AK626" t="str">
        <f>_xlfn.IFS(AND(HR_Data[[#This Row],[Age]]&gt;=18,HR_Data[[#This Row],[Age]]&lt;=25),"18-25",AND(HR_Data[[#This Row],[Age]]&gt;=26,HR_Data[[#This Row],[Age]]&lt;=35),"26-35",AND(HR_Data[[#This Row],[Age]]&gt;=36,HR_Data[[#This Row],[Age]]&lt;=45),"36-45",HR_Data[[#This Row],[Age]]&gt;45,"45+")</f>
        <v>45+</v>
      </c>
      <c r="AL6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27" spans="1:38"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f>IF(HR_Data[[#This Row],[Attrition]]="Yes",1,0)</f>
        <v>0</v>
      </c>
      <c r="AK627" t="str">
        <f>_xlfn.IFS(AND(HR_Data[[#This Row],[Age]]&gt;=18,HR_Data[[#This Row],[Age]]&lt;=25),"18-25",AND(HR_Data[[#This Row],[Age]]&gt;=26,HR_Data[[#This Row],[Age]]&lt;=35),"26-35",AND(HR_Data[[#This Row],[Age]]&gt;=36,HR_Data[[#This Row],[Age]]&lt;=45),"36-45",HR_Data[[#This Row],[Age]]&gt;45,"45+")</f>
        <v>36-45</v>
      </c>
      <c r="AL6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28" spans="1:38"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f>IF(HR_Data[[#This Row],[Attrition]]="Yes",1,0)</f>
        <v>0</v>
      </c>
      <c r="AK628" t="str">
        <f>_xlfn.IFS(AND(HR_Data[[#This Row],[Age]]&gt;=18,HR_Data[[#This Row],[Age]]&lt;=25),"18-25",AND(HR_Data[[#This Row],[Age]]&gt;=26,HR_Data[[#This Row],[Age]]&lt;=35),"26-35",AND(HR_Data[[#This Row],[Age]]&gt;=36,HR_Data[[#This Row],[Age]]&lt;=45),"36-45",HR_Data[[#This Row],[Age]]&gt;45,"45+")</f>
        <v>26-35</v>
      </c>
      <c r="AL6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29" spans="1:38"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f>IF(HR_Data[[#This Row],[Attrition]]="Yes",1,0)</f>
        <v>0</v>
      </c>
      <c r="AK629" t="str">
        <f>_xlfn.IFS(AND(HR_Data[[#This Row],[Age]]&gt;=18,HR_Data[[#This Row],[Age]]&lt;=25),"18-25",AND(HR_Data[[#This Row],[Age]]&gt;=26,HR_Data[[#This Row],[Age]]&lt;=35),"26-35",AND(HR_Data[[#This Row],[Age]]&gt;=36,HR_Data[[#This Row],[Age]]&lt;=45),"36-45",HR_Data[[#This Row],[Age]]&gt;45,"45+")</f>
        <v>45+</v>
      </c>
      <c r="AL6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30" spans="1:38"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f>IF(HR_Data[[#This Row],[Attrition]]="Yes",1,0)</f>
        <v>0</v>
      </c>
      <c r="AK630" t="str">
        <f>_xlfn.IFS(AND(HR_Data[[#This Row],[Age]]&gt;=18,HR_Data[[#This Row],[Age]]&lt;=25),"18-25",AND(HR_Data[[#This Row],[Age]]&gt;=26,HR_Data[[#This Row],[Age]]&lt;=35),"26-35",AND(HR_Data[[#This Row],[Age]]&gt;=36,HR_Data[[#This Row],[Age]]&lt;=45),"36-45",HR_Data[[#This Row],[Age]]&gt;45,"45+")</f>
        <v>36-45</v>
      </c>
      <c r="AL6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31" spans="1:38"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f>IF(HR_Data[[#This Row],[Attrition]]="Yes",1,0)</f>
        <v>0</v>
      </c>
      <c r="AK631" t="str">
        <f>_xlfn.IFS(AND(HR_Data[[#This Row],[Age]]&gt;=18,HR_Data[[#This Row],[Age]]&lt;=25),"18-25",AND(HR_Data[[#This Row],[Age]]&gt;=26,HR_Data[[#This Row],[Age]]&lt;=35),"26-35",AND(HR_Data[[#This Row],[Age]]&gt;=36,HR_Data[[#This Row],[Age]]&lt;=45),"36-45",HR_Data[[#This Row],[Age]]&gt;45,"45+")</f>
        <v>26-35</v>
      </c>
      <c r="AL6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32" spans="1:38"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f>IF(HR_Data[[#This Row],[Attrition]]="Yes",1,0)</f>
        <v>0</v>
      </c>
      <c r="AK632" t="str">
        <f>_xlfn.IFS(AND(HR_Data[[#This Row],[Age]]&gt;=18,HR_Data[[#This Row],[Age]]&lt;=25),"18-25",AND(HR_Data[[#This Row],[Age]]&gt;=26,HR_Data[[#This Row],[Age]]&lt;=35),"26-35",AND(HR_Data[[#This Row],[Age]]&gt;=36,HR_Data[[#This Row],[Age]]&lt;=45),"36-45",HR_Data[[#This Row],[Age]]&gt;45,"45+")</f>
        <v>18-25</v>
      </c>
      <c r="AL6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33" spans="1:38"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f>IF(HR_Data[[#This Row],[Attrition]]="Yes",1,0)</f>
        <v>0</v>
      </c>
      <c r="AK633" t="str">
        <f>_xlfn.IFS(AND(HR_Data[[#This Row],[Age]]&gt;=18,HR_Data[[#This Row],[Age]]&lt;=25),"18-25",AND(HR_Data[[#This Row],[Age]]&gt;=26,HR_Data[[#This Row],[Age]]&lt;=35),"26-35",AND(HR_Data[[#This Row],[Age]]&gt;=36,HR_Data[[#This Row],[Age]]&lt;=45),"36-45",HR_Data[[#This Row],[Age]]&gt;45,"45+")</f>
        <v>36-45</v>
      </c>
      <c r="AL6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34" spans="1:38"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f>IF(HR_Data[[#This Row],[Attrition]]="Yes",1,0)</f>
        <v>0</v>
      </c>
      <c r="AK634" t="str">
        <f>_xlfn.IFS(AND(HR_Data[[#This Row],[Age]]&gt;=18,HR_Data[[#This Row],[Age]]&lt;=25),"18-25",AND(HR_Data[[#This Row],[Age]]&gt;=26,HR_Data[[#This Row],[Age]]&lt;=35),"26-35",AND(HR_Data[[#This Row],[Age]]&gt;=36,HR_Data[[#This Row],[Age]]&lt;=45),"36-45",HR_Data[[#This Row],[Age]]&gt;45,"45+")</f>
        <v>36-45</v>
      </c>
      <c r="AL6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35" spans="1:38"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f>IF(HR_Data[[#This Row],[Attrition]]="Yes",1,0)</f>
        <v>0</v>
      </c>
      <c r="AK635" t="str">
        <f>_xlfn.IFS(AND(HR_Data[[#This Row],[Age]]&gt;=18,HR_Data[[#This Row],[Age]]&lt;=25),"18-25",AND(HR_Data[[#This Row],[Age]]&gt;=26,HR_Data[[#This Row],[Age]]&lt;=35),"26-35",AND(HR_Data[[#This Row],[Age]]&gt;=36,HR_Data[[#This Row],[Age]]&lt;=45),"36-45",HR_Data[[#This Row],[Age]]&gt;45,"45+")</f>
        <v>36-45</v>
      </c>
      <c r="AL6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36" spans="1:38"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f>IF(HR_Data[[#This Row],[Attrition]]="Yes",1,0)</f>
        <v>0</v>
      </c>
      <c r="AK636" t="str">
        <f>_xlfn.IFS(AND(HR_Data[[#This Row],[Age]]&gt;=18,HR_Data[[#This Row],[Age]]&lt;=25),"18-25",AND(HR_Data[[#This Row],[Age]]&gt;=26,HR_Data[[#This Row],[Age]]&lt;=35),"26-35",AND(HR_Data[[#This Row],[Age]]&gt;=36,HR_Data[[#This Row],[Age]]&lt;=45),"36-45",HR_Data[[#This Row],[Age]]&gt;45,"45+")</f>
        <v>18-25</v>
      </c>
      <c r="AL6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37" spans="1:38"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f>IF(HR_Data[[#This Row],[Attrition]]="Yes",1,0)</f>
        <v>0</v>
      </c>
      <c r="AK637" t="str">
        <f>_xlfn.IFS(AND(HR_Data[[#This Row],[Age]]&gt;=18,HR_Data[[#This Row],[Age]]&lt;=25),"18-25",AND(HR_Data[[#This Row],[Age]]&gt;=26,HR_Data[[#This Row],[Age]]&lt;=35),"26-35",AND(HR_Data[[#This Row],[Age]]&gt;=36,HR_Data[[#This Row],[Age]]&lt;=45),"36-45",HR_Data[[#This Row],[Age]]&gt;45,"45+")</f>
        <v>26-35</v>
      </c>
      <c r="AL6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38" spans="1:38"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f>IF(HR_Data[[#This Row],[Attrition]]="Yes",1,0)</f>
        <v>1</v>
      </c>
      <c r="AK638" t="str">
        <f>_xlfn.IFS(AND(HR_Data[[#This Row],[Age]]&gt;=18,HR_Data[[#This Row],[Age]]&lt;=25),"18-25",AND(HR_Data[[#This Row],[Age]]&gt;=26,HR_Data[[#This Row],[Age]]&lt;=35),"26-35",AND(HR_Data[[#This Row],[Age]]&gt;=36,HR_Data[[#This Row],[Age]]&lt;=45),"36-45",HR_Data[[#This Row],[Age]]&gt;45,"45+")</f>
        <v>26-35</v>
      </c>
      <c r="AL6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39" spans="1:38"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f>IF(HR_Data[[#This Row],[Attrition]]="Yes",1,0)</f>
        <v>0</v>
      </c>
      <c r="AK639" t="str">
        <f>_xlfn.IFS(AND(HR_Data[[#This Row],[Age]]&gt;=18,HR_Data[[#This Row],[Age]]&lt;=25),"18-25",AND(HR_Data[[#This Row],[Age]]&gt;=26,HR_Data[[#This Row],[Age]]&lt;=35),"26-35",AND(HR_Data[[#This Row],[Age]]&gt;=36,HR_Data[[#This Row],[Age]]&lt;=45),"36-45",HR_Data[[#This Row],[Age]]&gt;45,"45+")</f>
        <v>26-35</v>
      </c>
      <c r="AL6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40" spans="1:38"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f>IF(HR_Data[[#This Row],[Attrition]]="Yes",1,0)</f>
        <v>0</v>
      </c>
      <c r="AK640" t="str">
        <f>_xlfn.IFS(AND(HR_Data[[#This Row],[Age]]&gt;=18,HR_Data[[#This Row],[Age]]&lt;=25),"18-25",AND(HR_Data[[#This Row],[Age]]&gt;=26,HR_Data[[#This Row],[Age]]&lt;=35),"26-35",AND(HR_Data[[#This Row],[Age]]&gt;=36,HR_Data[[#This Row],[Age]]&lt;=45),"36-45",HR_Data[[#This Row],[Age]]&gt;45,"45+")</f>
        <v>18-25</v>
      </c>
      <c r="AL6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41" spans="1:38"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f>IF(HR_Data[[#This Row],[Attrition]]="Yes",1,0)</f>
        <v>0</v>
      </c>
      <c r="AK641" t="str">
        <f>_xlfn.IFS(AND(HR_Data[[#This Row],[Age]]&gt;=18,HR_Data[[#This Row],[Age]]&lt;=25),"18-25",AND(HR_Data[[#This Row],[Age]]&gt;=26,HR_Data[[#This Row],[Age]]&lt;=35),"26-35",AND(HR_Data[[#This Row],[Age]]&gt;=36,HR_Data[[#This Row],[Age]]&lt;=45),"36-45",HR_Data[[#This Row],[Age]]&gt;45,"45+")</f>
        <v>45+</v>
      </c>
      <c r="AL6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42" spans="1:38"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f>IF(HR_Data[[#This Row],[Attrition]]="Yes",1,0)</f>
        <v>0</v>
      </c>
      <c r="AK642" t="str">
        <f>_xlfn.IFS(AND(HR_Data[[#This Row],[Age]]&gt;=18,HR_Data[[#This Row],[Age]]&lt;=25),"18-25",AND(HR_Data[[#This Row],[Age]]&gt;=26,HR_Data[[#This Row],[Age]]&lt;=35),"26-35",AND(HR_Data[[#This Row],[Age]]&gt;=36,HR_Data[[#This Row],[Age]]&lt;=45),"36-45",HR_Data[[#This Row],[Age]]&gt;45,"45+")</f>
        <v>18-25</v>
      </c>
      <c r="AL6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43" spans="1:38"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f>IF(HR_Data[[#This Row],[Attrition]]="Yes",1,0)</f>
        <v>0</v>
      </c>
      <c r="AK643" t="str">
        <f>_xlfn.IFS(AND(HR_Data[[#This Row],[Age]]&gt;=18,HR_Data[[#This Row],[Age]]&lt;=25),"18-25",AND(HR_Data[[#This Row],[Age]]&gt;=26,HR_Data[[#This Row],[Age]]&lt;=35),"26-35",AND(HR_Data[[#This Row],[Age]]&gt;=36,HR_Data[[#This Row],[Age]]&lt;=45),"36-45",HR_Data[[#This Row],[Age]]&gt;45,"45+")</f>
        <v>26-35</v>
      </c>
      <c r="AL6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44" spans="1:38"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f>IF(HR_Data[[#This Row],[Attrition]]="Yes",1,0)</f>
        <v>0</v>
      </c>
      <c r="AK644" t="str">
        <f>_xlfn.IFS(AND(HR_Data[[#This Row],[Age]]&gt;=18,HR_Data[[#This Row],[Age]]&lt;=25),"18-25",AND(HR_Data[[#This Row],[Age]]&gt;=26,HR_Data[[#This Row],[Age]]&lt;=35),"26-35",AND(HR_Data[[#This Row],[Age]]&gt;=36,HR_Data[[#This Row],[Age]]&lt;=45),"36-45",HR_Data[[#This Row],[Age]]&gt;45,"45+")</f>
        <v>36-45</v>
      </c>
      <c r="AL6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45" spans="1:38"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f>IF(HR_Data[[#This Row],[Attrition]]="Yes",1,0)</f>
        <v>0</v>
      </c>
      <c r="AK645" t="str">
        <f>_xlfn.IFS(AND(HR_Data[[#This Row],[Age]]&gt;=18,HR_Data[[#This Row],[Age]]&lt;=25),"18-25",AND(HR_Data[[#This Row],[Age]]&gt;=26,HR_Data[[#This Row],[Age]]&lt;=35),"26-35",AND(HR_Data[[#This Row],[Age]]&gt;=36,HR_Data[[#This Row],[Age]]&lt;=45),"36-45",HR_Data[[#This Row],[Age]]&gt;45,"45+")</f>
        <v>36-45</v>
      </c>
      <c r="AL6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46" spans="1:38"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f>IF(HR_Data[[#This Row],[Attrition]]="Yes",1,0)</f>
        <v>0</v>
      </c>
      <c r="AK646" t="str">
        <f>_xlfn.IFS(AND(HR_Data[[#This Row],[Age]]&gt;=18,HR_Data[[#This Row],[Age]]&lt;=25),"18-25",AND(HR_Data[[#This Row],[Age]]&gt;=26,HR_Data[[#This Row],[Age]]&lt;=35),"26-35",AND(HR_Data[[#This Row],[Age]]&gt;=36,HR_Data[[#This Row],[Age]]&lt;=45),"36-45",HR_Data[[#This Row],[Age]]&gt;45,"45+")</f>
        <v>26-35</v>
      </c>
      <c r="AL6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47" spans="1:38"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f>IF(HR_Data[[#This Row],[Attrition]]="Yes",1,0)</f>
        <v>1</v>
      </c>
      <c r="AK647" t="str">
        <f>_xlfn.IFS(AND(HR_Data[[#This Row],[Age]]&gt;=18,HR_Data[[#This Row],[Age]]&lt;=25),"18-25",AND(HR_Data[[#This Row],[Age]]&gt;=26,HR_Data[[#This Row],[Age]]&lt;=35),"26-35",AND(HR_Data[[#This Row],[Age]]&gt;=36,HR_Data[[#This Row],[Age]]&lt;=45),"36-45",HR_Data[[#This Row],[Age]]&gt;45,"45+")</f>
        <v>26-35</v>
      </c>
      <c r="AL6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48" spans="1:38"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f>IF(HR_Data[[#This Row],[Attrition]]="Yes",1,0)</f>
        <v>0</v>
      </c>
      <c r="AK648" t="str">
        <f>_xlfn.IFS(AND(HR_Data[[#This Row],[Age]]&gt;=18,HR_Data[[#This Row],[Age]]&lt;=25),"18-25",AND(HR_Data[[#This Row],[Age]]&gt;=26,HR_Data[[#This Row],[Age]]&lt;=35),"26-35",AND(HR_Data[[#This Row],[Age]]&gt;=36,HR_Data[[#This Row],[Age]]&lt;=45),"36-45",HR_Data[[#This Row],[Age]]&gt;45,"45+")</f>
        <v>45+</v>
      </c>
      <c r="AL6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49" spans="1:38"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f>IF(HR_Data[[#This Row],[Attrition]]="Yes",1,0)</f>
        <v>0</v>
      </c>
      <c r="AK649" t="str">
        <f>_xlfn.IFS(AND(HR_Data[[#This Row],[Age]]&gt;=18,HR_Data[[#This Row],[Age]]&lt;=25),"18-25",AND(HR_Data[[#This Row],[Age]]&gt;=26,HR_Data[[#This Row],[Age]]&lt;=35),"26-35",AND(HR_Data[[#This Row],[Age]]&gt;=36,HR_Data[[#This Row],[Age]]&lt;=45),"36-45",HR_Data[[#This Row],[Age]]&gt;45,"45+")</f>
        <v>26-35</v>
      </c>
      <c r="AL6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50" spans="1:38"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f>IF(HR_Data[[#This Row],[Attrition]]="Yes",1,0)</f>
        <v>0</v>
      </c>
      <c r="AK650" t="str">
        <f>_xlfn.IFS(AND(HR_Data[[#This Row],[Age]]&gt;=18,HR_Data[[#This Row],[Age]]&lt;=25),"18-25",AND(HR_Data[[#This Row],[Age]]&gt;=26,HR_Data[[#This Row],[Age]]&lt;=35),"26-35",AND(HR_Data[[#This Row],[Age]]&gt;=36,HR_Data[[#This Row],[Age]]&lt;=45),"36-45",HR_Data[[#This Row],[Age]]&gt;45,"45+")</f>
        <v>36-45</v>
      </c>
      <c r="AL6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51" spans="1:38"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f>IF(HR_Data[[#This Row],[Attrition]]="Yes",1,0)</f>
        <v>0</v>
      </c>
      <c r="AK651" t="str">
        <f>_xlfn.IFS(AND(HR_Data[[#This Row],[Age]]&gt;=18,HR_Data[[#This Row],[Age]]&lt;=25),"18-25",AND(HR_Data[[#This Row],[Age]]&gt;=26,HR_Data[[#This Row],[Age]]&lt;=35),"26-35",AND(HR_Data[[#This Row],[Age]]&gt;=36,HR_Data[[#This Row],[Age]]&lt;=45),"36-45",HR_Data[[#This Row],[Age]]&gt;45,"45+")</f>
        <v>45+</v>
      </c>
      <c r="AL6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52" spans="1:38"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f>IF(HR_Data[[#This Row],[Attrition]]="Yes",1,0)</f>
        <v>0</v>
      </c>
      <c r="AK652" t="str">
        <f>_xlfn.IFS(AND(HR_Data[[#This Row],[Age]]&gt;=18,HR_Data[[#This Row],[Age]]&lt;=25),"18-25",AND(HR_Data[[#This Row],[Age]]&gt;=26,HR_Data[[#This Row],[Age]]&lt;=35),"26-35",AND(HR_Data[[#This Row],[Age]]&gt;=36,HR_Data[[#This Row],[Age]]&lt;=45),"36-45",HR_Data[[#This Row],[Age]]&gt;45,"45+")</f>
        <v>36-45</v>
      </c>
      <c r="AL6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53" spans="1:38"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f>IF(HR_Data[[#This Row],[Attrition]]="Yes",1,0)</f>
        <v>0</v>
      </c>
      <c r="AK653" t="str">
        <f>_xlfn.IFS(AND(HR_Data[[#This Row],[Age]]&gt;=18,HR_Data[[#This Row],[Age]]&lt;=25),"18-25",AND(HR_Data[[#This Row],[Age]]&gt;=26,HR_Data[[#This Row],[Age]]&lt;=35),"26-35",AND(HR_Data[[#This Row],[Age]]&gt;=36,HR_Data[[#This Row],[Age]]&lt;=45),"36-45",HR_Data[[#This Row],[Age]]&gt;45,"45+")</f>
        <v>45+</v>
      </c>
      <c r="AL6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54" spans="1:38"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f>IF(HR_Data[[#This Row],[Attrition]]="Yes",1,0)</f>
        <v>0</v>
      </c>
      <c r="AK654" t="str">
        <f>_xlfn.IFS(AND(HR_Data[[#This Row],[Age]]&gt;=18,HR_Data[[#This Row],[Age]]&lt;=25),"18-25",AND(HR_Data[[#This Row],[Age]]&gt;=26,HR_Data[[#This Row],[Age]]&lt;=35),"26-35",AND(HR_Data[[#This Row],[Age]]&gt;=36,HR_Data[[#This Row],[Age]]&lt;=45),"36-45",HR_Data[[#This Row],[Age]]&gt;45,"45+")</f>
        <v>36-45</v>
      </c>
      <c r="AL6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55" spans="1:38"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f>IF(HR_Data[[#This Row],[Attrition]]="Yes",1,0)</f>
        <v>0</v>
      </c>
      <c r="AK655" t="str">
        <f>_xlfn.IFS(AND(HR_Data[[#This Row],[Age]]&gt;=18,HR_Data[[#This Row],[Age]]&lt;=25),"18-25",AND(HR_Data[[#This Row],[Age]]&gt;=26,HR_Data[[#This Row],[Age]]&lt;=35),"26-35",AND(HR_Data[[#This Row],[Age]]&gt;=36,HR_Data[[#This Row],[Age]]&lt;=45),"36-45",HR_Data[[#This Row],[Age]]&gt;45,"45+")</f>
        <v>45+</v>
      </c>
      <c r="AL6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56" spans="1:38"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f>IF(HR_Data[[#This Row],[Attrition]]="Yes",1,0)</f>
        <v>0</v>
      </c>
      <c r="AK656" t="str">
        <f>_xlfn.IFS(AND(HR_Data[[#This Row],[Age]]&gt;=18,HR_Data[[#This Row],[Age]]&lt;=25),"18-25",AND(HR_Data[[#This Row],[Age]]&gt;=26,HR_Data[[#This Row],[Age]]&lt;=35),"26-35",AND(HR_Data[[#This Row],[Age]]&gt;=36,HR_Data[[#This Row],[Age]]&lt;=45),"36-45",HR_Data[[#This Row],[Age]]&gt;45,"45+")</f>
        <v>36-45</v>
      </c>
      <c r="AL6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57" spans="1:38"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f>IF(HR_Data[[#This Row],[Attrition]]="Yes",1,0)</f>
        <v>0</v>
      </c>
      <c r="AK657" t="str">
        <f>_xlfn.IFS(AND(HR_Data[[#This Row],[Age]]&gt;=18,HR_Data[[#This Row],[Age]]&lt;=25),"18-25",AND(HR_Data[[#This Row],[Age]]&gt;=26,HR_Data[[#This Row],[Age]]&lt;=35),"26-35",AND(HR_Data[[#This Row],[Age]]&gt;=36,HR_Data[[#This Row],[Age]]&lt;=45),"36-45",HR_Data[[#This Row],[Age]]&gt;45,"45+")</f>
        <v>26-35</v>
      </c>
      <c r="AL6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58" spans="1:38"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f>IF(HR_Data[[#This Row],[Attrition]]="Yes",1,0)</f>
        <v>1</v>
      </c>
      <c r="AK658" t="str">
        <f>_xlfn.IFS(AND(HR_Data[[#This Row],[Age]]&gt;=18,HR_Data[[#This Row],[Age]]&lt;=25),"18-25",AND(HR_Data[[#This Row],[Age]]&gt;=26,HR_Data[[#This Row],[Age]]&lt;=35),"26-35",AND(HR_Data[[#This Row],[Age]]&gt;=36,HR_Data[[#This Row],[Age]]&lt;=45),"36-45",HR_Data[[#This Row],[Age]]&gt;45,"45+")</f>
        <v>26-35</v>
      </c>
      <c r="AL6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59" spans="1:38"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f>IF(HR_Data[[#This Row],[Attrition]]="Yes",1,0)</f>
        <v>0</v>
      </c>
      <c r="AK659" t="str">
        <f>_xlfn.IFS(AND(HR_Data[[#This Row],[Age]]&gt;=18,HR_Data[[#This Row],[Age]]&lt;=25),"18-25",AND(HR_Data[[#This Row],[Age]]&gt;=26,HR_Data[[#This Row],[Age]]&lt;=35),"26-35",AND(HR_Data[[#This Row],[Age]]&gt;=36,HR_Data[[#This Row],[Age]]&lt;=45),"36-45",HR_Data[[#This Row],[Age]]&gt;45,"45+")</f>
        <v>26-35</v>
      </c>
      <c r="AL6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60" spans="1:38"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f>IF(HR_Data[[#This Row],[Attrition]]="Yes",1,0)</f>
        <v>0</v>
      </c>
      <c r="AK660" t="str">
        <f>_xlfn.IFS(AND(HR_Data[[#This Row],[Age]]&gt;=18,HR_Data[[#This Row],[Age]]&lt;=25),"18-25",AND(HR_Data[[#This Row],[Age]]&gt;=26,HR_Data[[#This Row],[Age]]&lt;=35),"26-35",AND(HR_Data[[#This Row],[Age]]&gt;=36,HR_Data[[#This Row],[Age]]&lt;=45),"36-45",HR_Data[[#This Row],[Age]]&gt;45,"45+")</f>
        <v>36-45</v>
      </c>
      <c r="AL6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61" spans="1:38"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f>IF(HR_Data[[#This Row],[Attrition]]="Yes",1,0)</f>
        <v>0</v>
      </c>
      <c r="AK661" t="str">
        <f>_xlfn.IFS(AND(HR_Data[[#This Row],[Age]]&gt;=18,HR_Data[[#This Row],[Age]]&lt;=25),"18-25",AND(HR_Data[[#This Row],[Age]]&gt;=26,HR_Data[[#This Row],[Age]]&lt;=35),"26-35",AND(HR_Data[[#This Row],[Age]]&gt;=36,HR_Data[[#This Row],[Age]]&lt;=45),"36-45",HR_Data[[#This Row],[Age]]&gt;45,"45+")</f>
        <v>26-35</v>
      </c>
      <c r="AL6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62" spans="1:38"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f>IF(HR_Data[[#This Row],[Attrition]]="Yes",1,0)</f>
        <v>1</v>
      </c>
      <c r="AK662" t="str">
        <f>_xlfn.IFS(AND(HR_Data[[#This Row],[Age]]&gt;=18,HR_Data[[#This Row],[Age]]&lt;=25),"18-25",AND(HR_Data[[#This Row],[Age]]&gt;=26,HR_Data[[#This Row],[Age]]&lt;=35),"26-35",AND(HR_Data[[#This Row],[Age]]&gt;=36,HR_Data[[#This Row],[Age]]&lt;=45),"36-45",HR_Data[[#This Row],[Age]]&gt;45,"45+")</f>
        <v>45+</v>
      </c>
      <c r="AL6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63" spans="1:38"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f>IF(HR_Data[[#This Row],[Attrition]]="Yes",1,0)</f>
        <v>0</v>
      </c>
      <c r="AK663" t="str">
        <f>_xlfn.IFS(AND(HR_Data[[#This Row],[Age]]&gt;=18,HR_Data[[#This Row],[Age]]&lt;=25),"18-25",AND(HR_Data[[#This Row],[Age]]&gt;=26,HR_Data[[#This Row],[Age]]&lt;=35),"26-35",AND(HR_Data[[#This Row],[Age]]&gt;=36,HR_Data[[#This Row],[Age]]&lt;=45),"36-45",HR_Data[[#This Row],[Age]]&gt;45,"45+")</f>
        <v>36-45</v>
      </c>
      <c r="AL6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64" spans="1:38"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f>IF(HR_Data[[#This Row],[Attrition]]="Yes",1,0)</f>
        <v>1</v>
      </c>
      <c r="AK664" t="str">
        <f>_xlfn.IFS(AND(HR_Data[[#This Row],[Age]]&gt;=18,HR_Data[[#This Row],[Age]]&lt;=25),"18-25",AND(HR_Data[[#This Row],[Age]]&gt;=26,HR_Data[[#This Row],[Age]]&lt;=35),"26-35",AND(HR_Data[[#This Row],[Age]]&gt;=36,HR_Data[[#This Row],[Age]]&lt;=45),"36-45",HR_Data[[#This Row],[Age]]&gt;45,"45+")</f>
        <v>18-25</v>
      </c>
      <c r="AL6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65" spans="1:38"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f>IF(HR_Data[[#This Row],[Attrition]]="Yes",1,0)</f>
        <v>1</v>
      </c>
      <c r="AK665" t="str">
        <f>_xlfn.IFS(AND(HR_Data[[#This Row],[Age]]&gt;=18,HR_Data[[#This Row],[Age]]&lt;=25),"18-25",AND(HR_Data[[#This Row],[Age]]&gt;=26,HR_Data[[#This Row],[Age]]&lt;=35),"26-35",AND(HR_Data[[#This Row],[Age]]&gt;=36,HR_Data[[#This Row],[Age]]&lt;=45),"36-45",HR_Data[[#This Row],[Age]]&gt;45,"45+")</f>
        <v>18-25</v>
      </c>
      <c r="AL6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66" spans="1:38"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f>IF(HR_Data[[#This Row],[Attrition]]="Yes",1,0)</f>
        <v>0</v>
      </c>
      <c r="AK666" t="str">
        <f>_xlfn.IFS(AND(HR_Data[[#This Row],[Age]]&gt;=18,HR_Data[[#This Row],[Age]]&lt;=25),"18-25",AND(HR_Data[[#This Row],[Age]]&gt;=26,HR_Data[[#This Row],[Age]]&lt;=35),"26-35",AND(HR_Data[[#This Row],[Age]]&gt;=36,HR_Data[[#This Row],[Age]]&lt;=45),"36-45",HR_Data[[#This Row],[Age]]&gt;45,"45+")</f>
        <v>36-45</v>
      </c>
      <c r="AL6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67" spans="1:38"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f>IF(HR_Data[[#This Row],[Attrition]]="Yes",1,0)</f>
        <v>0</v>
      </c>
      <c r="AK667" t="str">
        <f>_xlfn.IFS(AND(HR_Data[[#This Row],[Age]]&gt;=18,HR_Data[[#This Row],[Age]]&lt;=25),"18-25",AND(HR_Data[[#This Row],[Age]]&gt;=26,HR_Data[[#This Row],[Age]]&lt;=35),"26-35",AND(HR_Data[[#This Row],[Age]]&gt;=36,HR_Data[[#This Row],[Age]]&lt;=45),"36-45",HR_Data[[#This Row],[Age]]&gt;45,"45+")</f>
        <v>45+</v>
      </c>
      <c r="AL6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68" spans="1:38"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f>IF(HR_Data[[#This Row],[Attrition]]="Yes",1,0)</f>
        <v>1</v>
      </c>
      <c r="AK668" t="str">
        <f>_xlfn.IFS(AND(HR_Data[[#This Row],[Age]]&gt;=18,HR_Data[[#This Row],[Age]]&lt;=25),"18-25",AND(HR_Data[[#This Row],[Age]]&gt;=26,HR_Data[[#This Row],[Age]]&lt;=35),"26-35",AND(HR_Data[[#This Row],[Age]]&gt;=36,HR_Data[[#This Row],[Age]]&lt;=45),"36-45",HR_Data[[#This Row],[Age]]&gt;45,"45+")</f>
        <v>18-25</v>
      </c>
      <c r="AL6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69" spans="1:38"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f>IF(HR_Data[[#This Row],[Attrition]]="Yes",1,0)</f>
        <v>1</v>
      </c>
      <c r="AK669" t="str">
        <f>_xlfn.IFS(AND(HR_Data[[#This Row],[Age]]&gt;=18,HR_Data[[#This Row],[Age]]&lt;=25),"18-25",AND(HR_Data[[#This Row],[Age]]&gt;=26,HR_Data[[#This Row],[Age]]&lt;=35),"26-35",AND(HR_Data[[#This Row],[Age]]&gt;=36,HR_Data[[#This Row],[Age]]&lt;=45),"36-45",HR_Data[[#This Row],[Age]]&gt;45,"45+")</f>
        <v>36-45</v>
      </c>
      <c r="AL6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70" spans="1:38"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f>IF(HR_Data[[#This Row],[Attrition]]="Yes",1,0)</f>
        <v>0</v>
      </c>
      <c r="AK670" t="str">
        <f>_xlfn.IFS(AND(HR_Data[[#This Row],[Age]]&gt;=18,HR_Data[[#This Row],[Age]]&lt;=25),"18-25",AND(HR_Data[[#This Row],[Age]]&gt;=26,HR_Data[[#This Row],[Age]]&lt;=35),"26-35",AND(HR_Data[[#This Row],[Age]]&gt;=36,HR_Data[[#This Row],[Age]]&lt;=45),"36-45",HR_Data[[#This Row],[Age]]&gt;45,"45+")</f>
        <v>26-35</v>
      </c>
      <c r="AL6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71" spans="1:38"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f>IF(HR_Data[[#This Row],[Attrition]]="Yes",1,0)</f>
        <v>1</v>
      </c>
      <c r="AK671" t="str">
        <f>_xlfn.IFS(AND(HR_Data[[#This Row],[Age]]&gt;=18,HR_Data[[#This Row],[Age]]&lt;=25),"18-25",AND(HR_Data[[#This Row],[Age]]&gt;=26,HR_Data[[#This Row],[Age]]&lt;=35),"26-35",AND(HR_Data[[#This Row],[Age]]&gt;=36,HR_Data[[#This Row],[Age]]&lt;=45),"36-45",HR_Data[[#This Row],[Age]]&gt;45,"45+")</f>
        <v>36-45</v>
      </c>
      <c r="AL6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72" spans="1:38"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f>IF(HR_Data[[#This Row],[Attrition]]="Yes",1,0)</f>
        <v>0</v>
      </c>
      <c r="AK672" t="str">
        <f>_xlfn.IFS(AND(HR_Data[[#This Row],[Age]]&gt;=18,HR_Data[[#This Row],[Age]]&lt;=25),"18-25",AND(HR_Data[[#This Row],[Age]]&gt;=26,HR_Data[[#This Row],[Age]]&lt;=35),"26-35",AND(HR_Data[[#This Row],[Age]]&gt;=36,HR_Data[[#This Row],[Age]]&lt;=45),"36-45",HR_Data[[#This Row],[Age]]&gt;45,"45+")</f>
        <v>26-35</v>
      </c>
      <c r="AL6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73" spans="1:38"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f>IF(HR_Data[[#This Row],[Attrition]]="Yes",1,0)</f>
        <v>0</v>
      </c>
      <c r="AK673" t="str">
        <f>_xlfn.IFS(AND(HR_Data[[#This Row],[Age]]&gt;=18,HR_Data[[#This Row],[Age]]&lt;=25),"18-25",AND(HR_Data[[#This Row],[Age]]&gt;=26,HR_Data[[#This Row],[Age]]&lt;=35),"26-35",AND(HR_Data[[#This Row],[Age]]&gt;=36,HR_Data[[#This Row],[Age]]&lt;=45),"36-45",HR_Data[[#This Row],[Age]]&gt;45,"45+")</f>
        <v>26-35</v>
      </c>
      <c r="AL6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74" spans="1:38"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f>IF(HR_Data[[#This Row],[Attrition]]="Yes",1,0)</f>
        <v>0</v>
      </c>
      <c r="AK674" t="str">
        <f>_xlfn.IFS(AND(HR_Data[[#This Row],[Age]]&gt;=18,HR_Data[[#This Row],[Age]]&lt;=25),"18-25",AND(HR_Data[[#This Row],[Age]]&gt;=26,HR_Data[[#This Row],[Age]]&lt;=35),"26-35",AND(HR_Data[[#This Row],[Age]]&gt;=36,HR_Data[[#This Row],[Age]]&lt;=45),"36-45",HR_Data[[#This Row],[Age]]&gt;45,"45+")</f>
        <v>36-45</v>
      </c>
      <c r="AL6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75" spans="1:38"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f>IF(HR_Data[[#This Row],[Attrition]]="Yes",1,0)</f>
        <v>0</v>
      </c>
      <c r="AK675" t="str">
        <f>_xlfn.IFS(AND(HR_Data[[#This Row],[Age]]&gt;=18,HR_Data[[#This Row],[Age]]&lt;=25),"18-25",AND(HR_Data[[#This Row],[Age]]&gt;=26,HR_Data[[#This Row],[Age]]&lt;=35),"26-35",AND(HR_Data[[#This Row],[Age]]&gt;=36,HR_Data[[#This Row],[Age]]&lt;=45),"36-45",HR_Data[[#This Row],[Age]]&gt;45,"45+")</f>
        <v>26-35</v>
      </c>
      <c r="AL6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76" spans="1:38"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f>IF(HR_Data[[#This Row],[Attrition]]="Yes",1,0)</f>
        <v>0</v>
      </c>
      <c r="AK676" t="str">
        <f>_xlfn.IFS(AND(HR_Data[[#This Row],[Age]]&gt;=18,HR_Data[[#This Row],[Age]]&lt;=25),"18-25",AND(HR_Data[[#This Row],[Age]]&gt;=26,HR_Data[[#This Row],[Age]]&lt;=35),"26-35",AND(HR_Data[[#This Row],[Age]]&gt;=36,HR_Data[[#This Row],[Age]]&lt;=45),"36-45",HR_Data[[#This Row],[Age]]&gt;45,"45+")</f>
        <v>45+</v>
      </c>
      <c r="AL6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77" spans="1:38"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f>IF(HR_Data[[#This Row],[Attrition]]="Yes",1,0)</f>
        <v>0</v>
      </c>
      <c r="AK677" t="str">
        <f>_xlfn.IFS(AND(HR_Data[[#This Row],[Age]]&gt;=18,HR_Data[[#This Row],[Age]]&lt;=25),"18-25",AND(HR_Data[[#This Row],[Age]]&gt;=26,HR_Data[[#This Row],[Age]]&lt;=35),"26-35",AND(HR_Data[[#This Row],[Age]]&gt;=36,HR_Data[[#This Row],[Age]]&lt;=45),"36-45",HR_Data[[#This Row],[Age]]&gt;45,"45+")</f>
        <v>26-35</v>
      </c>
      <c r="AL6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78" spans="1:38"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f>IF(HR_Data[[#This Row],[Attrition]]="Yes",1,0)</f>
        <v>0</v>
      </c>
      <c r="AK678" t="str">
        <f>_xlfn.IFS(AND(HR_Data[[#This Row],[Age]]&gt;=18,HR_Data[[#This Row],[Age]]&lt;=25),"18-25",AND(HR_Data[[#This Row],[Age]]&gt;=26,HR_Data[[#This Row],[Age]]&lt;=35),"26-35",AND(HR_Data[[#This Row],[Age]]&gt;=36,HR_Data[[#This Row],[Age]]&lt;=45),"36-45",HR_Data[[#This Row],[Age]]&gt;45,"45+")</f>
        <v>26-35</v>
      </c>
      <c r="AL6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79" spans="1:38"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f>IF(HR_Data[[#This Row],[Attrition]]="Yes",1,0)</f>
        <v>0</v>
      </c>
      <c r="AK679" t="str">
        <f>_xlfn.IFS(AND(HR_Data[[#This Row],[Age]]&gt;=18,HR_Data[[#This Row],[Age]]&lt;=25),"18-25",AND(HR_Data[[#This Row],[Age]]&gt;=26,HR_Data[[#This Row],[Age]]&lt;=35),"26-35",AND(HR_Data[[#This Row],[Age]]&gt;=36,HR_Data[[#This Row],[Age]]&lt;=45),"36-45",HR_Data[[#This Row],[Age]]&gt;45,"45+")</f>
        <v>45+</v>
      </c>
      <c r="AL6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80" spans="1:38"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f>IF(HR_Data[[#This Row],[Attrition]]="Yes",1,0)</f>
        <v>0</v>
      </c>
      <c r="AK680" t="str">
        <f>_xlfn.IFS(AND(HR_Data[[#This Row],[Age]]&gt;=18,HR_Data[[#This Row],[Age]]&lt;=25),"18-25",AND(HR_Data[[#This Row],[Age]]&gt;=26,HR_Data[[#This Row],[Age]]&lt;=35),"26-35",AND(HR_Data[[#This Row],[Age]]&gt;=36,HR_Data[[#This Row],[Age]]&lt;=45),"36-45",HR_Data[[#This Row],[Age]]&gt;45,"45+")</f>
        <v>45+</v>
      </c>
      <c r="AL6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81" spans="1:38"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f>IF(HR_Data[[#This Row],[Attrition]]="Yes",1,0)</f>
        <v>0</v>
      </c>
      <c r="AK681" t="str">
        <f>_xlfn.IFS(AND(HR_Data[[#This Row],[Age]]&gt;=18,HR_Data[[#This Row],[Age]]&lt;=25),"18-25",AND(HR_Data[[#This Row],[Age]]&gt;=26,HR_Data[[#This Row],[Age]]&lt;=35),"26-35",AND(HR_Data[[#This Row],[Age]]&gt;=36,HR_Data[[#This Row],[Age]]&lt;=45),"36-45",HR_Data[[#This Row],[Age]]&gt;45,"45+")</f>
        <v>26-35</v>
      </c>
      <c r="AL6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82" spans="1:38"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f>IF(HR_Data[[#This Row],[Attrition]]="Yes",1,0)</f>
        <v>0</v>
      </c>
      <c r="AK682" t="str">
        <f>_xlfn.IFS(AND(HR_Data[[#This Row],[Age]]&gt;=18,HR_Data[[#This Row],[Age]]&lt;=25),"18-25",AND(HR_Data[[#This Row],[Age]]&gt;=26,HR_Data[[#This Row],[Age]]&lt;=35),"26-35",AND(HR_Data[[#This Row],[Age]]&gt;=36,HR_Data[[#This Row],[Age]]&lt;=45),"36-45",HR_Data[[#This Row],[Age]]&gt;45,"45+")</f>
        <v>36-45</v>
      </c>
      <c r="AL6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83" spans="1:38"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f>IF(HR_Data[[#This Row],[Attrition]]="Yes",1,0)</f>
        <v>0</v>
      </c>
      <c r="AK683" t="str">
        <f>_xlfn.IFS(AND(HR_Data[[#This Row],[Age]]&gt;=18,HR_Data[[#This Row],[Age]]&lt;=25),"18-25",AND(HR_Data[[#This Row],[Age]]&gt;=26,HR_Data[[#This Row],[Age]]&lt;=35),"26-35",AND(HR_Data[[#This Row],[Age]]&gt;=36,HR_Data[[#This Row],[Age]]&lt;=45),"36-45",HR_Data[[#This Row],[Age]]&gt;45,"45+")</f>
        <v>36-45</v>
      </c>
      <c r="AL6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84" spans="1:38"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f>IF(HR_Data[[#This Row],[Attrition]]="Yes",1,0)</f>
        <v>0</v>
      </c>
      <c r="AK684" t="str">
        <f>_xlfn.IFS(AND(HR_Data[[#This Row],[Age]]&gt;=18,HR_Data[[#This Row],[Age]]&lt;=25),"18-25",AND(HR_Data[[#This Row],[Age]]&gt;=26,HR_Data[[#This Row],[Age]]&lt;=35),"26-35",AND(HR_Data[[#This Row],[Age]]&gt;=36,HR_Data[[#This Row],[Age]]&lt;=45),"36-45",HR_Data[[#This Row],[Age]]&gt;45,"45+")</f>
        <v>26-35</v>
      </c>
      <c r="AL6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85" spans="1:38"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f>IF(HR_Data[[#This Row],[Attrition]]="Yes",1,0)</f>
        <v>1</v>
      </c>
      <c r="AK685" t="str">
        <f>_xlfn.IFS(AND(HR_Data[[#This Row],[Age]]&gt;=18,HR_Data[[#This Row],[Age]]&lt;=25),"18-25",AND(HR_Data[[#This Row],[Age]]&gt;=26,HR_Data[[#This Row],[Age]]&lt;=35),"26-35",AND(HR_Data[[#This Row],[Age]]&gt;=36,HR_Data[[#This Row],[Age]]&lt;=45),"36-45",HR_Data[[#This Row],[Age]]&gt;45,"45+")</f>
        <v>18-25</v>
      </c>
      <c r="AL6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86" spans="1:38"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f>IF(HR_Data[[#This Row],[Attrition]]="Yes",1,0)</f>
        <v>0</v>
      </c>
      <c r="AK686" t="str">
        <f>_xlfn.IFS(AND(HR_Data[[#This Row],[Age]]&gt;=18,HR_Data[[#This Row],[Age]]&lt;=25),"18-25",AND(HR_Data[[#This Row],[Age]]&gt;=26,HR_Data[[#This Row],[Age]]&lt;=35),"26-35",AND(HR_Data[[#This Row],[Age]]&gt;=36,HR_Data[[#This Row],[Age]]&lt;=45),"36-45",HR_Data[[#This Row],[Age]]&gt;45,"45+")</f>
        <v>36-45</v>
      </c>
      <c r="AL6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87" spans="1:38"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f>IF(HR_Data[[#This Row],[Attrition]]="Yes",1,0)</f>
        <v>0</v>
      </c>
      <c r="AK687" t="str">
        <f>_xlfn.IFS(AND(HR_Data[[#This Row],[Age]]&gt;=18,HR_Data[[#This Row],[Age]]&lt;=25),"18-25",AND(HR_Data[[#This Row],[Age]]&gt;=26,HR_Data[[#This Row],[Age]]&lt;=35),"26-35",AND(HR_Data[[#This Row],[Age]]&gt;=36,HR_Data[[#This Row],[Age]]&lt;=45),"36-45",HR_Data[[#This Row],[Age]]&gt;45,"45+")</f>
        <v>26-35</v>
      </c>
      <c r="AL6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88" spans="1:38"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f>IF(HR_Data[[#This Row],[Attrition]]="Yes",1,0)</f>
        <v>0</v>
      </c>
      <c r="AK688" t="str">
        <f>_xlfn.IFS(AND(HR_Data[[#This Row],[Age]]&gt;=18,HR_Data[[#This Row],[Age]]&lt;=25),"18-25",AND(HR_Data[[#This Row],[Age]]&gt;=26,HR_Data[[#This Row],[Age]]&lt;=35),"26-35",AND(HR_Data[[#This Row],[Age]]&gt;=36,HR_Data[[#This Row],[Age]]&lt;=45),"36-45",HR_Data[[#This Row],[Age]]&gt;45,"45+")</f>
        <v>36-45</v>
      </c>
      <c r="AL6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89" spans="1:38"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f>IF(HR_Data[[#This Row],[Attrition]]="Yes",1,0)</f>
        <v>0</v>
      </c>
      <c r="AK689" t="str">
        <f>_xlfn.IFS(AND(HR_Data[[#This Row],[Age]]&gt;=18,HR_Data[[#This Row],[Age]]&lt;=25),"18-25",AND(HR_Data[[#This Row],[Age]]&gt;=26,HR_Data[[#This Row],[Age]]&lt;=35),"26-35",AND(HR_Data[[#This Row],[Age]]&gt;=36,HR_Data[[#This Row],[Age]]&lt;=45),"36-45",HR_Data[[#This Row],[Age]]&gt;45,"45+")</f>
        <v>36-45</v>
      </c>
      <c r="AL6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90" spans="1:38"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f>IF(HR_Data[[#This Row],[Attrition]]="Yes",1,0)</f>
        <v>1</v>
      </c>
      <c r="AK690" t="str">
        <f>_xlfn.IFS(AND(HR_Data[[#This Row],[Age]]&gt;=18,HR_Data[[#This Row],[Age]]&lt;=25),"18-25",AND(HR_Data[[#This Row],[Age]]&gt;=26,HR_Data[[#This Row],[Age]]&lt;=35),"26-35",AND(HR_Data[[#This Row],[Age]]&gt;=36,HR_Data[[#This Row],[Age]]&lt;=45),"36-45",HR_Data[[#This Row],[Age]]&gt;45,"45+")</f>
        <v>18-25</v>
      </c>
      <c r="AL6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91" spans="1:38"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f>IF(HR_Data[[#This Row],[Attrition]]="Yes",1,0)</f>
        <v>1</v>
      </c>
      <c r="AK691" t="str">
        <f>_xlfn.IFS(AND(HR_Data[[#This Row],[Age]]&gt;=18,HR_Data[[#This Row],[Age]]&lt;=25),"18-25",AND(HR_Data[[#This Row],[Age]]&gt;=26,HR_Data[[#This Row],[Age]]&lt;=35),"26-35",AND(HR_Data[[#This Row],[Age]]&gt;=36,HR_Data[[#This Row],[Age]]&lt;=45),"36-45",HR_Data[[#This Row],[Age]]&gt;45,"45+")</f>
        <v>18-25</v>
      </c>
      <c r="AL6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92" spans="1:38"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f>IF(HR_Data[[#This Row],[Attrition]]="Yes",1,0)</f>
        <v>0</v>
      </c>
      <c r="AK692" t="str">
        <f>_xlfn.IFS(AND(HR_Data[[#This Row],[Age]]&gt;=18,HR_Data[[#This Row],[Age]]&lt;=25),"18-25",AND(HR_Data[[#This Row],[Age]]&gt;=26,HR_Data[[#This Row],[Age]]&lt;=35),"26-35",AND(HR_Data[[#This Row],[Age]]&gt;=36,HR_Data[[#This Row],[Age]]&lt;=45),"36-45",HR_Data[[#This Row],[Age]]&gt;45,"45+")</f>
        <v>26-35</v>
      </c>
      <c r="AL6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93" spans="1:38"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f>IF(HR_Data[[#This Row],[Attrition]]="Yes",1,0)</f>
        <v>0</v>
      </c>
      <c r="AK693" t="str">
        <f>_xlfn.IFS(AND(HR_Data[[#This Row],[Age]]&gt;=18,HR_Data[[#This Row],[Age]]&lt;=25),"18-25",AND(HR_Data[[#This Row],[Age]]&gt;=26,HR_Data[[#This Row],[Age]]&lt;=35),"26-35",AND(HR_Data[[#This Row],[Age]]&gt;=36,HR_Data[[#This Row],[Age]]&lt;=45),"36-45",HR_Data[[#This Row],[Age]]&gt;45,"45+")</f>
        <v>36-45</v>
      </c>
      <c r="AL6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694" spans="1:38"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f>IF(HR_Data[[#This Row],[Attrition]]="Yes",1,0)</f>
        <v>0</v>
      </c>
      <c r="AK694" t="str">
        <f>_xlfn.IFS(AND(HR_Data[[#This Row],[Age]]&gt;=18,HR_Data[[#This Row],[Age]]&lt;=25),"18-25",AND(HR_Data[[#This Row],[Age]]&gt;=26,HR_Data[[#This Row],[Age]]&lt;=35),"26-35",AND(HR_Data[[#This Row],[Age]]&gt;=36,HR_Data[[#This Row],[Age]]&lt;=45),"36-45",HR_Data[[#This Row],[Age]]&gt;45,"45+")</f>
        <v>26-35</v>
      </c>
      <c r="AL6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95" spans="1:38"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f>IF(HR_Data[[#This Row],[Attrition]]="Yes",1,0)</f>
        <v>1</v>
      </c>
      <c r="AK695" t="str">
        <f>_xlfn.IFS(AND(HR_Data[[#This Row],[Age]]&gt;=18,HR_Data[[#This Row],[Age]]&lt;=25),"18-25",AND(HR_Data[[#This Row],[Age]]&gt;=26,HR_Data[[#This Row],[Age]]&lt;=35),"26-35",AND(HR_Data[[#This Row],[Age]]&gt;=36,HR_Data[[#This Row],[Age]]&lt;=45),"36-45",HR_Data[[#This Row],[Age]]&gt;45,"45+")</f>
        <v>36-45</v>
      </c>
      <c r="AL6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96" spans="1:38"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f>IF(HR_Data[[#This Row],[Attrition]]="Yes",1,0)</f>
        <v>0</v>
      </c>
      <c r="AK696" t="str">
        <f>_xlfn.IFS(AND(HR_Data[[#This Row],[Age]]&gt;=18,HR_Data[[#This Row],[Age]]&lt;=25),"18-25",AND(HR_Data[[#This Row],[Age]]&gt;=26,HR_Data[[#This Row],[Age]]&lt;=35),"26-35",AND(HR_Data[[#This Row],[Age]]&gt;=36,HR_Data[[#This Row],[Age]]&lt;=45),"36-45",HR_Data[[#This Row],[Age]]&gt;45,"45+")</f>
        <v>26-35</v>
      </c>
      <c r="AL6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697" spans="1:38"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f>IF(HR_Data[[#This Row],[Attrition]]="Yes",1,0)</f>
        <v>1</v>
      </c>
      <c r="AK697" t="str">
        <f>_xlfn.IFS(AND(HR_Data[[#This Row],[Age]]&gt;=18,HR_Data[[#This Row],[Age]]&lt;=25),"18-25",AND(HR_Data[[#This Row],[Age]]&gt;=26,HR_Data[[#This Row],[Age]]&lt;=35),"26-35",AND(HR_Data[[#This Row],[Age]]&gt;=36,HR_Data[[#This Row],[Age]]&lt;=45),"36-45",HR_Data[[#This Row],[Age]]&gt;45,"45+")</f>
        <v>36-45</v>
      </c>
      <c r="AL6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698" spans="1:38"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f>IF(HR_Data[[#This Row],[Attrition]]="Yes",1,0)</f>
        <v>0</v>
      </c>
      <c r="AK698" t="str">
        <f>_xlfn.IFS(AND(HR_Data[[#This Row],[Age]]&gt;=18,HR_Data[[#This Row],[Age]]&lt;=25),"18-25",AND(HR_Data[[#This Row],[Age]]&gt;=26,HR_Data[[#This Row],[Age]]&lt;=35),"26-35",AND(HR_Data[[#This Row],[Age]]&gt;=36,HR_Data[[#This Row],[Age]]&lt;=45),"36-45",HR_Data[[#This Row],[Age]]&gt;45,"45+")</f>
        <v>36-45</v>
      </c>
      <c r="AL6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699" spans="1:38"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f>IF(HR_Data[[#This Row],[Attrition]]="Yes",1,0)</f>
        <v>0</v>
      </c>
      <c r="AK699" t="str">
        <f>_xlfn.IFS(AND(HR_Data[[#This Row],[Age]]&gt;=18,HR_Data[[#This Row],[Age]]&lt;=25),"18-25",AND(HR_Data[[#This Row],[Age]]&gt;=26,HR_Data[[#This Row],[Age]]&lt;=35),"26-35",AND(HR_Data[[#This Row],[Age]]&gt;=36,HR_Data[[#This Row],[Age]]&lt;=45),"36-45",HR_Data[[#This Row],[Age]]&gt;45,"45+")</f>
        <v>26-35</v>
      </c>
      <c r="AL6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00" spans="1:38"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f>IF(HR_Data[[#This Row],[Attrition]]="Yes",1,0)</f>
        <v>0</v>
      </c>
      <c r="AK700" t="str">
        <f>_xlfn.IFS(AND(HR_Data[[#This Row],[Age]]&gt;=18,HR_Data[[#This Row],[Age]]&lt;=25),"18-25",AND(HR_Data[[#This Row],[Age]]&gt;=26,HR_Data[[#This Row],[Age]]&lt;=35),"26-35",AND(HR_Data[[#This Row],[Age]]&gt;=36,HR_Data[[#This Row],[Age]]&lt;=45),"36-45",HR_Data[[#This Row],[Age]]&gt;45,"45+")</f>
        <v>26-35</v>
      </c>
      <c r="AL7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01" spans="1:38"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f>IF(HR_Data[[#This Row],[Attrition]]="Yes",1,0)</f>
        <v>0</v>
      </c>
      <c r="AK701" t="str">
        <f>_xlfn.IFS(AND(HR_Data[[#This Row],[Age]]&gt;=18,HR_Data[[#This Row],[Age]]&lt;=25),"18-25",AND(HR_Data[[#This Row],[Age]]&gt;=26,HR_Data[[#This Row],[Age]]&lt;=35),"26-35",AND(HR_Data[[#This Row],[Age]]&gt;=36,HR_Data[[#This Row],[Age]]&lt;=45),"36-45",HR_Data[[#This Row],[Age]]&gt;45,"45+")</f>
        <v>45+</v>
      </c>
      <c r="AL7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02" spans="1:38"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f>IF(HR_Data[[#This Row],[Attrition]]="Yes",1,0)</f>
        <v>1</v>
      </c>
      <c r="AK702" t="str">
        <f>_xlfn.IFS(AND(HR_Data[[#This Row],[Age]]&gt;=18,HR_Data[[#This Row],[Age]]&lt;=25),"18-25",AND(HR_Data[[#This Row],[Age]]&gt;=26,HR_Data[[#This Row],[Age]]&lt;=35),"26-35",AND(HR_Data[[#This Row],[Age]]&gt;=36,HR_Data[[#This Row],[Age]]&lt;=45),"36-45",HR_Data[[#This Row],[Age]]&gt;45,"45+")</f>
        <v>45+</v>
      </c>
      <c r="AL7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03" spans="1:38"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f>IF(HR_Data[[#This Row],[Attrition]]="Yes",1,0)</f>
        <v>0</v>
      </c>
      <c r="AK703" t="str">
        <f>_xlfn.IFS(AND(HR_Data[[#This Row],[Age]]&gt;=18,HR_Data[[#This Row],[Age]]&lt;=25),"18-25",AND(HR_Data[[#This Row],[Age]]&gt;=26,HR_Data[[#This Row],[Age]]&lt;=35),"26-35",AND(HR_Data[[#This Row],[Age]]&gt;=36,HR_Data[[#This Row],[Age]]&lt;=45),"36-45",HR_Data[[#This Row],[Age]]&gt;45,"45+")</f>
        <v>45+</v>
      </c>
      <c r="AL7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04" spans="1:38"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f>IF(HR_Data[[#This Row],[Attrition]]="Yes",1,0)</f>
        <v>0</v>
      </c>
      <c r="AK704" t="str">
        <f>_xlfn.IFS(AND(HR_Data[[#This Row],[Age]]&gt;=18,HR_Data[[#This Row],[Age]]&lt;=25),"18-25",AND(HR_Data[[#This Row],[Age]]&gt;=26,HR_Data[[#This Row],[Age]]&lt;=35),"26-35",AND(HR_Data[[#This Row],[Age]]&gt;=36,HR_Data[[#This Row],[Age]]&lt;=45),"36-45",HR_Data[[#This Row],[Age]]&gt;45,"45+")</f>
        <v>26-35</v>
      </c>
      <c r="AL7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05" spans="1:38"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f>IF(HR_Data[[#This Row],[Attrition]]="Yes",1,0)</f>
        <v>0</v>
      </c>
      <c r="AK705" t="str">
        <f>_xlfn.IFS(AND(HR_Data[[#This Row],[Age]]&gt;=18,HR_Data[[#This Row],[Age]]&lt;=25),"18-25",AND(HR_Data[[#This Row],[Age]]&gt;=26,HR_Data[[#This Row],[Age]]&lt;=35),"26-35",AND(HR_Data[[#This Row],[Age]]&gt;=36,HR_Data[[#This Row],[Age]]&lt;=45),"36-45",HR_Data[[#This Row],[Age]]&gt;45,"45+")</f>
        <v>36-45</v>
      </c>
      <c r="AL7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06" spans="1:38"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f>IF(HR_Data[[#This Row],[Attrition]]="Yes",1,0)</f>
        <v>0</v>
      </c>
      <c r="AK706" t="str">
        <f>_xlfn.IFS(AND(HR_Data[[#This Row],[Age]]&gt;=18,HR_Data[[#This Row],[Age]]&lt;=25),"18-25",AND(HR_Data[[#This Row],[Age]]&gt;=26,HR_Data[[#This Row],[Age]]&lt;=35),"26-35",AND(HR_Data[[#This Row],[Age]]&gt;=36,HR_Data[[#This Row],[Age]]&lt;=45),"36-45",HR_Data[[#This Row],[Age]]&gt;45,"45+")</f>
        <v>26-35</v>
      </c>
      <c r="AL7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07" spans="1:38"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f>IF(HR_Data[[#This Row],[Attrition]]="Yes",1,0)</f>
        <v>0</v>
      </c>
      <c r="AK707" t="str">
        <f>_xlfn.IFS(AND(HR_Data[[#This Row],[Age]]&gt;=18,HR_Data[[#This Row],[Age]]&lt;=25),"18-25",AND(HR_Data[[#This Row],[Age]]&gt;=26,HR_Data[[#This Row],[Age]]&lt;=35),"26-35",AND(HR_Data[[#This Row],[Age]]&gt;=36,HR_Data[[#This Row],[Age]]&lt;=45),"36-45",HR_Data[[#This Row],[Age]]&gt;45,"45+")</f>
        <v>36-45</v>
      </c>
      <c r="AL7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08" spans="1:38"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f>IF(HR_Data[[#This Row],[Attrition]]="Yes",1,0)</f>
        <v>1</v>
      </c>
      <c r="AK708" t="str">
        <f>_xlfn.IFS(AND(HR_Data[[#This Row],[Age]]&gt;=18,HR_Data[[#This Row],[Age]]&lt;=25),"18-25",AND(HR_Data[[#This Row],[Age]]&gt;=26,HR_Data[[#This Row],[Age]]&lt;=35),"26-35",AND(HR_Data[[#This Row],[Age]]&gt;=36,HR_Data[[#This Row],[Age]]&lt;=45),"36-45",HR_Data[[#This Row],[Age]]&gt;45,"45+")</f>
        <v>36-45</v>
      </c>
      <c r="AL7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09" spans="1:38"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f>IF(HR_Data[[#This Row],[Attrition]]="Yes",1,0)</f>
        <v>0</v>
      </c>
      <c r="AK709" t="str">
        <f>_xlfn.IFS(AND(HR_Data[[#This Row],[Age]]&gt;=18,HR_Data[[#This Row],[Age]]&lt;=25),"18-25",AND(HR_Data[[#This Row],[Age]]&gt;=26,HR_Data[[#This Row],[Age]]&lt;=35),"26-35",AND(HR_Data[[#This Row],[Age]]&gt;=36,HR_Data[[#This Row],[Age]]&lt;=45),"36-45",HR_Data[[#This Row],[Age]]&gt;45,"45+")</f>
        <v>45+</v>
      </c>
      <c r="AL7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10" spans="1:38"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f>IF(HR_Data[[#This Row],[Attrition]]="Yes",1,0)</f>
        <v>0</v>
      </c>
      <c r="AK710" t="str">
        <f>_xlfn.IFS(AND(HR_Data[[#This Row],[Age]]&gt;=18,HR_Data[[#This Row],[Age]]&lt;=25),"18-25",AND(HR_Data[[#This Row],[Age]]&gt;=26,HR_Data[[#This Row],[Age]]&lt;=35),"26-35",AND(HR_Data[[#This Row],[Age]]&gt;=36,HR_Data[[#This Row],[Age]]&lt;=45),"36-45",HR_Data[[#This Row],[Age]]&gt;45,"45+")</f>
        <v>36-45</v>
      </c>
      <c r="AL7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11" spans="1:38"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f>IF(HR_Data[[#This Row],[Attrition]]="Yes",1,0)</f>
        <v>1</v>
      </c>
      <c r="AK711" t="str">
        <f>_xlfn.IFS(AND(HR_Data[[#This Row],[Age]]&gt;=18,HR_Data[[#This Row],[Age]]&lt;=25),"18-25",AND(HR_Data[[#This Row],[Age]]&gt;=26,HR_Data[[#This Row],[Age]]&lt;=35),"26-35",AND(HR_Data[[#This Row],[Age]]&gt;=36,HR_Data[[#This Row],[Age]]&lt;=45),"36-45",HR_Data[[#This Row],[Age]]&gt;45,"45+")</f>
        <v>26-35</v>
      </c>
      <c r="AL7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12" spans="1:38"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f>IF(HR_Data[[#This Row],[Attrition]]="Yes",1,0)</f>
        <v>0</v>
      </c>
      <c r="AK712" t="str">
        <f>_xlfn.IFS(AND(HR_Data[[#This Row],[Age]]&gt;=18,HR_Data[[#This Row],[Age]]&lt;=25),"18-25",AND(HR_Data[[#This Row],[Age]]&gt;=26,HR_Data[[#This Row],[Age]]&lt;=35),"26-35",AND(HR_Data[[#This Row],[Age]]&gt;=36,HR_Data[[#This Row],[Age]]&lt;=45),"36-45",HR_Data[[#This Row],[Age]]&gt;45,"45+")</f>
        <v>26-35</v>
      </c>
      <c r="AL7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13" spans="1:38"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f>IF(HR_Data[[#This Row],[Attrition]]="Yes",1,0)</f>
        <v>1</v>
      </c>
      <c r="AK713" t="str">
        <f>_xlfn.IFS(AND(HR_Data[[#This Row],[Age]]&gt;=18,HR_Data[[#This Row],[Age]]&lt;=25),"18-25",AND(HR_Data[[#This Row],[Age]]&gt;=26,HR_Data[[#This Row],[Age]]&lt;=35),"26-35",AND(HR_Data[[#This Row],[Age]]&gt;=36,HR_Data[[#This Row],[Age]]&lt;=45),"36-45",HR_Data[[#This Row],[Age]]&gt;45,"45+")</f>
        <v>26-35</v>
      </c>
      <c r="AL7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14" spans="1:38"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f>IF(HR_Data[[#This Row],[Attrition]]="Yes",1,0)</f>
        <v>0</v>
      </c>
      <c r="AK714" t="str">
        <f>_xlfn.IFS(AND(HR_Data[[#This Row],[Age]]&gt;=18,HR_Data[[#This Row],[Age]]&lt;=25),"18-25",AND(HR_Data[[#This Row],[Age]]&gt;=26,HR_Data[[#This Row],[Age]]&lt;=35),"26-35",AND(HR_Data[[#This Row],[Age]]&gt;=36,HR_Data[[#This Row],[Age]]&lt;=45),"36-45",HR_Data[[#This Row],[Age]]&gt;45,"45+")</f>
        <v>26-35</v>
      </c>
      <c r="AL7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15" spans="1:38"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f>IF(HR_Data[[#This Row],[Attrition]]="Yes",1,0)</f>
        <v>0</v>
      </c>
      <c r="AK715" t="str">
        <f>_xlfn.IFS(AND(HR_Data[[#This Row],[Age]]&gt;=18,HR_Data[[#This Row],[Age]]&lt;=25),"18-25",AND(HR_Data[[#This Row],[Age]]&gt;=26,HR_Data[[#This Row],[Age]]&lt;=35),"26-35",AND(HR_Data[[#This Row],[Age]]&gt;=36,HR_Data[[#This Row],[Age]]&lt;=45),"36-45",HR_Data[[#This Row],[Age]]&gt;45,"45+")</f>
        <v>36-45</v>
      </c>
      <c r="AL7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16" spans="1:38"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f>IF(HR_Data[[#This Row],[Attrition]]="Yes",1,0)</f>
        <v>0</v>
      </c>
      <c r="AK716" t="str">
        <f>_xlfn.IFS(AND(HR_Data[[#This Row],[Age]]&gt;=18,HR_Data[[#This Row],[Age]]&lt;=25),"18-25",AND(HR_Data[[#This Row],[Age]]&gt;=26,HR_Data[[#This Row],[Age]]&lt;=35),"26-35",AND(HR_Data[[#This Row],[Age]]&gt;=36,HR_Data[[#This Row],[Age]]&lt;=45),"36-45",HR_Data[[#This Row],[Age]]&gt;45,"45+")</f>
        <v>45+</v>
      </c>
      <c r="AL7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17" spans="1:38"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f>IF(HR_Data[[#This Row],[Attrition]]="Yes",1,0)</f>
        <v>0</v>
      </c>
      <c r="AK717" t="str">
        <f>_xlfn.IFS(AND(HR_Data[[#This Row],[Age]]&gt;=18,HR_Data[[#This Row],[Age]]&lt;=25),"18-25",AND(HR_Data[[#This Row],[Age]]&gt;=26,HR_Data[[#This Row],[Age]]&lt;=35),"26-35",AND(HR_Data[[#This Row],[Age]]&gt;=36,HR_Data[[#This Row],[Age]]&lt;=45),"36-45",HR_Data[[#This Row],[Age]]&gt;45,"45+")</f>
        <v>26-35</v>
      </c>
      <c r="AL7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18" spans="1:38"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f>IF(HR_Data[[#This Row],[Attrition]]="Yes",1,0)</f>
        <v>0</v>
      </c>
      <c r="AK718" t="str">
        <f>_xlfn.IFS(AND(HR_Data[[#This Row],[Age]]&gt;=18,HR_Data[[#This Row],[Age]]&lt;=25),"18-25",AND(HR_Data[[#This Row],[Age]]&gt;=26,HR_Data[[#This Row],[Age]]&lt;=35),"26-35",AND(HR_Data[[#This Row],[Age]]&gt;=36,HR_Data[[#This Row],[Age]]&lt;=45),"36-45",HR_Data[[#This Row],[Age]]&gt;45,"45+")</f>
        <v>36-45</v>
      </c>
      <c r="AL7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19" spans="1:38"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f>IF(HR_Data[[#This Row],[Attrition]]="Yes",1,0)</f>
        <v>0</v>
      </c>
      <c r="AK719" t="str">
        <f>_xlfn.IFS(AND(HR_Data[[#This Row],[Age]]&gt;=18,HR_Data[[#This Row],[Age]]&lt;=25),"18-25",AND(HR_Data[[#This Row],[Age]]&gt;=26,HR_Data[[#This Row],[Age]]&lt;=35),"26-35",AND(HR_Data[[#This Row],[Age]]&gt;=36,HR_Data[[#This Row],[Age]]&lt;=45),"36-45",HR_Data[[#This Row],[Age]]&gt;45,"45+")</f>
        <v>26-35</v>
      </c>
      <c r="AL7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20" spans="1:38"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f>IF(HR_Data[[#This Row],[Attrition]]="Yes",1,0)</f>
        <v>0</v>
      </c>
      <c r="AK720" t="str">
        <f>_xlfn.IFS(AND(HR_Data[[#This Row],[Age]]&gt;=18,HR_Data[[#This Row],[Age]]&lt;=25),"18-25",AND(HR_Data[[#This Row],[Age]]&gt;=26,HR_Data[[#This Row],[Age]]&lt;=35),"26-35",AND(HR_Data[[#This Row],[Age]]&gt;=36,HR_Data[[#This Row],[Age]]&lt;=45),"36-45",HR_Data[[#This Row],[Age]]&gt;45,"45+")</f>
        <v>36-45</v>
      </c>
      <c r="AL7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21" spans="1:38"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f>IF(HR_Data[[#This Row],[Attrition]]="Yes",1,0)</f>
        <v>0</v>
      </c>
      <c r="AK721" t="str">
        <f>_xlfn.IFS(AND(HR_Data[[#This Row],[Age]]&gt;=18,HR_Data[[#This Row],[Age]]&lt;=25),"18-25",AND(HR_Data[[#This Row],[Age]]&gt;=26,HR_Data[[#This Row],[Age]]&lt;=35),"26-35",AND(HR_Data[[#This Row],[Age]]&gt;=36,HR_Data[[#This Row],[Age]]&lt;=45),"36-45",HR_Data[[#This Row],[Age]]&gt;45,"45+")</f>
        <v>45+</v>
      </c>
      <c r="AL7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22" spans="1:38"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f>IF(HR_Data[[#This Row],[Attrition]]="Yes",1,0)</f>
        <v>1</v>
      </c>
      <c r="AK722" t="str">
        <f>_xlfn.IFS(AND(HR_Data[[#This Row],[Age]]&gt;=18,HR_Data[[#This Row],[Age]]&lt;=25),"18-25",AND(HR_Data[[#This Row],[Age]]&gt;=26,HR_Data[[#This Row],[Age]]&lt;=35),"26-35",AND(HR_Data[[#This Row],[Age]]&gt;=36,HR_Data[[#This Row],[Age]]&lt;=45),"36-45",HR_Data[[#This Row],[Age]]&gt;45,"45+")</f>
        <v>26-35</v>
      </c>
      <c r="AL7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23" spans="1:38"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f>IF(HR_Data[[#This Row],[Attrition]]="Yes",1,0)</f>
        <v>0</v>
      </c>
      <c r="AK723" t="str">
        <f>_xlfn.IFS(AND(HR_Data[[#This Row],[Age]]&gt;=18,HR_Data[[#This Row],[Age]]&lt;=25),"18-25",AND(HR_Data[[#This Row],[Age]]&gt;=26,HR_Data[[#This Row],[Age]]&lt;=35),"26-35",AND(HR_Data[[#This Row],[Age]]&gt;=36,HR_Data[[#This Row],[Age]]&lt;=45),"36-45",HR_Data[[#This Row],[Age]]&gt;45,"45+")</f>
        <v>45+</v>
      </c>
      <c r="AL7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24" spans="1:38"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f>IF(HR_Data[[#This Row],[Attrition]]="Yes",1,0)</f>
        <v>0</v>
      </c>
      <c r="AK724" t="str">
        <f>_xlfn.IFS(AND(HR_Data[[#This Row],[Age]]&gt;=18,HR_Data[[#This Row],[Age]]&lt;=25),"18-25",AND(HR_Data[[#This Row],[Age]]&gt;=26,HR_Data[[#This Row],[Age]]&lt;=35),"26-35",AND(HR_Data[[#This Row],[Age]]&gt;=36,HR_Data[[#This Row],[Age]]&lt;=45),"36-45",HR_Data[[#This Row],[Age]]&gt;45,"45+")</f>
        <v>36-45</v>
      </c>
      <c r="AL7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25" spans="1:38"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f>IF(HR_Data[[#This Row],[Attrition]]="Yes",1,0)</f>
        <v>0</v>
      </c>
      <c r="AK725" t="str">
        <f>_xlfn.IFS(AND(HR_Data[[#This Row],[Age]]&gt;=18,HR_Data[[#This Row],[Age]]&lt;=25),"18-25",AND(HR_Data[[#This Row],[Age]]&gt;=26,HR_Data[[#This Row],[Age]]&lt;=35),"26-35",AND(HR_Data[[#This Row],[Age]]&gt;=36,HR_Data[[#This Row],[Age]]&lt;=45),"36-45",HR_Data[[#This Row],[Age]]&gt;45,"45+")</f>
        <v>45+</v>
      </c>
      <c r="AL7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26" spans="1:38"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f>IF(HR_Data[[#This Row],[Attrition]]="Yes",1,0)</f>
        <v>0</v>
      </c>
      <c r="AK726" t="str">
        <f>_xlfn.IFS(AND(HR_Data[[#This Row],[Age]]&gt;=18,HR_Data[[#This Row],[Age]]&lt;=25),"18-25",AND(HR_Data[[#This Row],[Age]]&gt;=26,HR_Data[[#This Row],[Age]]&lt;=35),"26-35",AND(HR_Data[[#This Row],[Age]]&gt;=36,HR_Data[[#This Row],[Age]]&lt;=45),"36-45",HR_Data[[#This Row],[Age]]&gt;45,"45+")</f>
        <v>18-25</v>
      </c>
      <c r="AL7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27" spans="1:38"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f>IF(HR_Data[[#This Row],[Attrition]]="Yes",1,0)</f>
        <v>1</v>
      </c>
      <c r="AK727" t="str">
        <f>_xlfn.IFS(AND(HR_Data[[#This Row],[Age]]&gt;=18,HR_Data[[#This Row],[Age]]&lt;=25),"18-25",AND(HR_Data[[#This Row],[Age]]&gt;=26,HR_Data[[#This Row],[Age]]&lt;=35),"26-35",AND(HR_Data[[#This Row],[Age]]&gt;=36,HR_Data[[#This Row],[Age]]&lt;=45),"36-45",HR_Data[[#This Row],[Age]]&gt;45,"45+")</f>
        <v>26-35</v>
      </c>
      <c r="AL7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28" spans="1:38"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f>IF(HR_Data[[#This Row],[Attrition]]="Yes",1,0)</f>
        <v>0</v>
      </c>
      <c r="AK728" t="str">
        <f>_xlfn.IFS(AND(HR_Data[[#This Row],[Age]]&gt;=18,HR_Data[[#This Row],[Age]]&lt;=25),"18-25",AND(HR_Data[[#This Row],[Age]]&gt;=26,HR_Data[[#This Row],[Age]]&lt;=35),"26-35",AND(HR_Data[[#This Row],[Age]]&gt;=36,HR_Data[[#This Row],[Age]]&lt;=45),"36-45",HR_Data[[#This Row],[Age]]&gt;45,"45+")</f>
        <v>26-35</v>
      </c>
      <c r="AL7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29" spans="1:38"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f>IF(HR_Data[[#This Row],[Attrition]]="Yes",1,0)</f>
        <v>0</v>
      </c>
      <c r="AK729" t="str">
        <f>_xlfn.IFS(AND(HR_Data[[#This Row],[Age]]&gt;=18,HR_Data[[#This Row],[Age]]&lt;=25),"18-25",AND(HR_Data[[#This Row],[Age]]&gt;=26,HR_Data[[#This Row],[Age]]&lt;=35),"26-35",AND(HR_Data[[#This Row],[Age]]&gt;=36,HR_Data[[#This Row],[Age]]&lt;=45),"36-45",HR_Data[[#This Row],[Age]]&gt;45,"45+")</f>
        <v>18-25</v>
      </c>
      <c r="AL7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30" spans="1:38"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f>IF(HR_Data[[#This Row],[Attrition]]="Yes",1,0)</f>
        <v>0</v>
      </c>
      <c r="AK730" t="str">
        <f>_xlfn.IFS(AND(HR_Data[[#This Row],[Age]]&gt;=18,HR_Data[[#This Row],[Age]]&lt;=25),"18-25",AND(HR_Data[[#This Row],[Age]]&gt;=26,HR_Data[[#This Row],[Age]]&lt;=35),"26-35",AND(HR_Data[[#This Row],[Age]]&gt;=36,HR_Data[[#This Row],[Age]]&lt;=45),"36-45",HR_Data[[#This Row],[Age]]&gt;45,"45+")</f>
        <v>45+</v>
      </c>
      <c r="AL7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31" spans="1:38"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f>IF(HR_Data[[#This Row],[Attrition]]="Yes",1,0)</f>
        <v>0</v>
      </c>
      <c r="AK731" t="str">
        <f>_xlfn.IFS(AND(HR_Data[[#This Row],[Age]]&gt;=18,HR_Data[[#This Row],[Age]]&lt;=25),"18-25",AND(HR_Data[[#This Row],[Age]]&gt;=26,HR_Data[[#This Row],[Age]]&lt;=35),"26-35",AND(HR_Data[[#This Row],[Age]]&gt;=36,HR_Data[[#This Row],[Age]]&lt;=45),"36-45",HR_Data[[#This Row],[Age]]&gt;45,"45+")</f>
        <v>26-35</v>
      </c>
      <c r="AL7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32" spans="1:38"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f>IF(HR_Data[[#This Row],[Attrition]]="Yes",1,0)</f>
        <v>0</v>
      </c>
      <c r="AK732" t="str">
        <f>_xlfn.IFS(AND(HR_Data[[#This Row],[Age]]&gt;=18,HR_Data[[#This Row],[Age]]&lt;=25),"18-25",AND(HR_Data[[#This Row],[Age]]&gt;=26,HR_Data[[#This Row],[Age]]&lt;=35),"26-35",AND(HR_Data[[#This Row],[Age]]&gt;=36,HR_Data[[#This Row],[Age]]&lt;=45),"36-45",HR_Data[[#This Row],[Age]]&gt;45,"45+")</f>
        <v>26-35</v>
      </c>
      <c r="AL7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33" spans="1:38"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f>IF(HR_Data[[#This Row],[Attrition]]="Yes",1,0)</f>
        <v>1</v>
      </c>
      <c r="AK733" t="str">
        <f>_xlfn.IFS(AND(HR_Data[[#This Row],[Age]]&gt;=18,HR_Data[[#This Row],[Age]]&lt;=25),"18-25",AND(HR_Data[[#This Row],[Age]]&gt;=26,HR_Data[[#This Row],[Age]]&lt;=35),"26-35",AND(HR_Data[[#This Row],[Age]]&gt;=36,HR_Data[[#This Row],[Age]]&lt;=45),"36-45",HR_Data[[#This Row],[Age]]&gt;45,"45+")</f>
        <v>18-25</v>
      </c>
      <c r="AL7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34" spans="1:38"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f>IF(HR_Data[[#This Row],[Attrition]]="Yes",1,0)</f>
        <v>1</v>
      </c>
      <c r="AK734" t="str">
        <f>_xlfn.IFS(AND(HR_Data[[#This Row],[Age]]&gt;=18,HR_Data[[#This Row],[Age]]&lt;=25),"18-25",AND(HR_Data[[#This Row],[Age]]&gt;=26,HR_Data[[#This Row],[Age]]&lt;=35),"26-35",AND(HR_Data[[#This Row],[Age]]&gt;=36,HR_Data[[#This Row],[Age]]&lt;=45),"36-45",HR_Data[[#This Row],[Age]]&gt;45,"45+")</f>
        <v>26-35</v>
      </c>
      <c r="AL7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35" spans="1:38"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f>IF(HR_Data[[#This Row],[Attrition]]="Yes",1,0)</f>
        <v>0</v>
      </c>
      <c r="AK735" t="str">
        <f>_xlfn.IFS(AND(HR_Data[[#This Row],[Age]]&gt;=18,HR_Data[[#This Row],[Age]]&lt;=25),"18-25",AND(HR_Data[[#This Row],[Age]]&gt;=26,HR_Data[[#This Row],[Age]]&lt;=35),"26-35",AND(HR_Data[[#This Row],[Age]]&gt;=36,HR_Data[[#This Row],[Age]]&lt;=45),"36-45",HR_Data[[#This Row],[Age]]&gt;45,"45+")</f>
        <v>26-35</v>
      </c>
      <c r="AL7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36" spans="1:38"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f>IF(HR_Data[[#This Row],[Attrition]]="Yes",1,0)</f>
        <v>0</v>
      </c>
      <c r="AK736" t="str">
        <f>_xlfn.IFS(AND(HR_Data[[#This Row],[Age]]&gt;=18,HR_Data[[#This Row],[Age]]&lt;=25),"18-25",AND(HR_Data[[#This Row],[Age]]&gt;=26,HR_Data[[#This Row],[Age]]&lt;=35),"26-35",AND(HR_Data[[#This Row],[Age]]&gt;=36,HR_Data[[#This Row],[Age]]&lt;=45),"36-45",HR_Data[[#This Row],[Age]]&gt;45,"45+")</f>
        <v>18-25</v>
      </c>
      <c r="AL7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37" spans="1:38"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f>IF(HR_Data[[#This Row],[Attrition]]="Yes",1,0)</f>
        <v>0</v>
      </c>
      <c r="AK737" t="str">
        <f>_xlfn.IFS(AND(HR_Data[[#This Row],[Age]]&gt;=18,HR_Data[[#This Row],[Age]]&lt;=25),"18-25",AND(HR_Data[[#This Row],[Age]]&gt;=26,HR_Data[[#This Row],[Age]]&lt;=35),"26-35",AND(HR_Data[[#This Row],[Age]]&gt;=36,HR_Data[[#This Row],[Age]]&lt;=45),"36-45",HR_Data[[#This Row],[Age]]&gt;45,"45+")</f>
        <v>45+</v>
      </c>
      <c r="AL7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38" spans="1:38"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f>IF(HR_Data[[#This Row],[Attrition]]="Yes",1,0)</f>
        <v>0</v>
      </c>
      <c r="AK738" t="str">
        <f>_xlfn.IFS(AND(HR_Data[[#This Row],[Age]]&gt;=18,HR_Data[[#This Row],[Age]]&lt;=25),"18-25",AND(HR_Data[[#This Row],[Age]]&gt;=26,HR_Data[[#This Row],[Age]]&lt;=35),"26-35",AND(HR_Data[[#This Row],[Age]]&gt;=36,HR_Data[[#This Row],[Age]]&lt;=45),"36-45",HR_Data[[#This Row],[Age]]&gt;45,"45+")</f>
        <v>45+</v>
      </c>
      <c r="AL7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39" spans="1:38"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f>IF(HR_Data[[#This Row],[Attrition]]="Yes",1,0)</f>
        <v>0</v>
      </c>
      <c r="AK739" t="str">
        <f>_xlfn.IFS(AND(HR_Data[[#This Row],[Age]]&gt;=18,HR_Data[[#This Row],[Age]]&lt;=25),"18-25",AND(HR_Data[[#This Row],[Age]]&gt;=26,HR_Data[[#This Row],[Age]]&lt;=35),"26-35",AND(HR_Data[[#This Row],[Age]]&gt;=36,HR_Data[[#This Row],[Age]]&lt;=45),"36-45",HR_Data[[#This Row],[Age]]&gt;45,"45+")</f>
        <v>36-45</v>
      </c>
      <c r="AL7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40" spans="1:38"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f>IF(HR_Data[[#This Row],[Attrition]]="Yes",1,0)</f>
        <v>0</v>
      </c>
      <c r="AK740" t="str">
        <f>_xlfn.IFS(AND(HR_Data[[#This Row],[Age]]&gt;=18,HR_Data[[#This Row],[Age]]&lt;=25),"18-25",AND(HR_Data[[#This Row],[Age]]&gt;=26,HR_Data[[#This Row],[Age]]&lt;=35),"26-35",AND(HR_Data[[#This Row],[Age]]&gt;=36,HR_Data[[#This Row],[Age]]&lt;=45),"36-45",HR_Data[[#This Row],[Age]]&gt;45,"45+")</f>
        <v>36-45</v>
      </c>
      <c r="AL7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41" spans="1:38"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f>IF(HR_Data[[#This Row],[Attrition]]="Yes",1,0)</f>
        <v>0</v>
      </c>
      <c r="AK741" t="str">
        <f>_xlfn.IFS(AND(HR_Data[[#This Row],[Age]]&gt;=18,HR_Data[[#This Row],[Age]]&lt;=25),"18-25",AND(HR_Data[[#This Row],[Age]]&gt;=26,HR_Data[[#This Row],[Age]]&lt;=35),"26-35",AND(HR_Data[[#This Row],[Age]]&gt;=36,HR_Data[[#This Row],[Age]]&lt;=45),"36-45",HR_Data[[#This Row],[Age]]&gt;45,"45+")</f>
        <v>26-35</v>
      </c>
      <c r="AL7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42" spans="1:38"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f>IF(HR_Data[[#This Row],[Attrition]]="Yes",1,0)</f>
        <v>0</v>
      </c>
      <c r="AK742" t="str">
        <f>_xlfn.IFS(AND(HR_Data[[#This Row],[Age]]&gt;=18,HR_Data[[#This Row],[Age]]&lt;=25),"18-25",AND(HR_Data[[#This Row],[Age]]&gt;=26,HR_Data[[#This Row],[Age]]&lt;=35),"26-35",AND(HR_Data[[#This Row],[Age]]&gt;=36,HR_Data[[#This Row],[Age]]&lt;=45),"36-45",HR_Data[[#This Row],[Age]]&gt;45,"45+")</f>
        <v>26-35</v>
      </c>
      <c r="AL7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43" spans="1:38"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f>IF(HR_Data[[#This Row],[Attrition]]="Yes",1,0)</f>
        <v>0</v>
      </c>
      <c r="AK743" t="str">
        <f>_xlfn.IFS(AND(HR_Data[[#This Row],[Age]]&gt;=18,HR_Data[[#This Row],[Age]]&lt;=25),"18-25",AND(HR_Data[[#This Row],[Age]]&gt;=26,HR_Data[[#This Row],[Age]]&lt;=35),"26-35",AND(HR_Data[[#This Row],[Age]]&gt;=36,HR_Data[[#This Row],[Age]]&lt;=45),"36-45",HR_Data[[#This Row],[Age]]&gt;45,"45+")</f>
        <v>36-45</v>
      </c>
      <c r="AL7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44" spans="1:38"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f>IF(HR_Data[[#This Row],[Attrition]]="Yes",1,0)</f>
        <v>0</v>
      </c>
      <c r="AK744" t="str">
        <f>_xlfn.IFS(AND(HR_Data[[#This Row],[Age]]&gt;=18,HR_Data[[#This Row],[Age]]&lt;=25),"18-25",AND(HR_Data[[#This Row],[Age]]&gt;=26,HR_Data[[#This Row],[Age]]&lt;=35),"26-35",AND(HR_Data[[#This Row],[Age]]&gt;=36,HR_Data[[#This Row],[Age]]&lt;=45),"36-45",HR_Data[[#This Row],[Age]]&gt;45,"45+")</f>
        <v>45+</v>
      </c>
      <c r="AL7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45" spans="1:38"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f>IF(HR_Data[[#This Row],[Attrition]]="Yes",1,0)</f>
        <v>0</v>
      </c>
      <c r="AK745" t="str">
        <f>_xlfn.IFS(AND(HR_Data[[#This Row],[Age]]&gt;=18,HR_Data[[#This Row],[Age]]&lt;=25),"18-25",AND(HR_Data[[#This Row],[Age]]&gt;=26,HR_Data[[#This Row],[Age]]&lt;=35),"26-35",AND(HR_Data[[#This Row],[Age]]&gt;=36,HR_Data[[#This Row],[Age]]&lt;=45),"36-45",HR_Data[[#This Row],[Age]]&gt;45,"45+")</f>
        <v>45+</v>
      </c>
      <c r="AL7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46" spans="1:38"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f>IF(HR_Data[[#This Row],[Attrition]]="Yes",1,0)</f>
        <v>1</v>
      </c>
      <c r="AK746" t="str">
        <f>_xlfn.IFS(AND(HR_Data[[#This Row],[Age]]&gt;=18,HR_Data[[#This Row],[Age]]&lt;=25),"18-25",AND(HR_Data[[#This Row],[Age]]&gt;=26,HR_Data[[#This Row],[Age]]&lt;=35),"26-35",AND(HR_Data[[#This Row],[Age]]&gt;=36,HR_Data[[#This Row],[Age]]&lt;=45),"36-45",HR_Data[[#This Row],[Age]]&gt;45,"45+")</f>
        <v>36-45</v>
      </c>
      <c r="AL7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47" spans="1:38"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f>IF(HR_Data[[#This Row],[Attrition]]="Yes",1,0)</f>
        <v>0</v>
      </c>
      <c r="AK747" t="str">
        <f>_xlfn.IFS(AND(HR_Data[[#This Row],[Age]]&gt;=18,HR_Data[[#This Row],[Age]]&lt;=25),"18-25",AND(HR_Data[[#This Row],[Age]]&gt;=26,HR_Data[[#This Row],[Age]]&lt;=35),"26-35",AND(HR_Data[[#This Row],[Age]]&gt;=36,HR_Data[[#This Row],[Age]]&lt;=45),"36-45",HR_Data[[#This Row],[Age]]&gt;45,"45+")</f>
        <v>45+</v>
      </c>
      <c r="AL7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48" spans="1:38"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f>IF(HR_Data[[#This Row],[Attrition]]="Yes",1,0)</f>
        <v>0</v>
      </c>
      <c r="AK748" t="str">
        <f>_xlfn.IFS(AND(HR_Data[[#This Row],[Age]]&gt;=18,HR_Data[[#This Row],[Age]]&lt;=25),"18-25",AND(HR_Data[[#This Row],[Age]]&gt;=26,HR_Data[[#This Row],[Age]]&lt;=35),"26-35",AND(HR_Data[[#This Row],[Age]]&gt;=36,HR_Data[[#This Row],[Age]]&lt;=45),"36-45",HR_Data[[#This Row],[Age]]&gt;45,"45+")</f>
        <v>36-45</v>
      </c>
      <c r="AL7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49" spans="1:38"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f>IF(HR_Data[[#This Row],[Attrition]]="Yes",1,0)</f>
        <v>0</v>
      </c>
      <c r="AK749" t="str">
        <f>_xlfn.IFS(AND(HR_Data[[#This Row],[Age]]&gt;=18,HR_Data[[#This Row],[Age]]&lt;=25),"18-25",AND(HR_Data[[#This Row],[Age]]&gt;=26,HR_Data[[#This Row],[Age]]&lt;=35),"26-35",AND(HR_Data[[#This Row],[Age]]&gt;=36,HR_Data[[#This Row],[Age]]&lt;=45),"36-45",HR_Data[[#This Row],[Age]]&gt;45,"45+")</f>
        <v>36-45</v>
      </c>
      <c r="AL7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50" spans="1:38"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f>IF(HR_Data[[#This Row],[Attrition]]="Yes",1,0)</f>
        <v>1</v>
      </c>
      <c r="AK750" t="str">
        <f>_xlfn.IFS(AND(HR_Data[[#This Row],[Age]]&gt;=18,HR_Data[[#This Row],[Age]]&lt;=25),"18-25",AND(HR_Data[[#This Row],[Age]]&gt;=26,HR_Data[[#This Row],[Age]]&lt;=35),"26-35",AND(HR_Data[[#This Row],[Age]]&gt;=36,HR_Data[[#This Row],[Age]]&lt;=45),"36-45",HR_Data[[#This Row],[Age]]&gt;45,"45+")</f>
        <v>26-35</v>
      </c>
      <c r="AL7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51" spans="1:38"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f>IF(HR_Data[[#This Row],[Attrition]]="Yes",1,0)</f>
        <v>1</v>
      </c>
      <c r="AK751" t="str">
        <f>_xlfn.IFS(AND(HR_Data[[#This Row],[Age]]&gt;=18,HR_Data[[#This Row],[Age]]&lt;=25),"18-25",AND(HR_Data[[#This Row],[Age]]&gt;=26,HR_Data[[#This Row],[Age]]&lt;=35),"26-35",AND(HR_Data[[#This Row],[Age]]&gt;=36,HR_Data[[#This Row],[Age]]&lt;=45),"36-45",HR_Data[[#This Row],[Age]]&gt;45,"45+")</f>
        <v>45+</v>
      </c>
      <c r="AL7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52" spans="1:38"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f>IF(HR_Data[[#This Row],[Attrition]]="Yes",1,0)</f>
        <v>0</v>
      </c>
      <c r="AK752" t="str">
        <f>_xlfn.IFS(AND(HR_Data[[#This Row],[Age]]&gt;=18,HR_Data[[#This Row],[Age]]&lt;=25),"18-25",AND(HR_Data[[#This Row],[Age]]&gt;=26,HR_Data[[#This Row],[Age]]&lt;=35),"26-35",AND(HR_Data[[#This Row],[Age]]&gt;=36,HR_Data[[#This Row],[Age]]&lt;=45),"36-45",HR_Data[[#This Row],[Age]]&gt;45,"45+")</f>
        <v>36-45</v>
      </c>
      <c r="AL7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53" spans="1:38"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f>IF(HR_Data[[#This Row],[Attrition]]="Yes",1,0)</f>
        <v>0</v>
      </c>
      <c r="AK753" t="str">
        <f>_xlfn.IFS(AND(HR_Data[[#This Row],[Age]]&gt;=18,HR_Data[[#This Row],[Age]]&lt;=25),"18-25",AND(HR_Data[[#This Row],[Age]]&gt;=26,HR_Data[[#This Row],[Age]]&lt;=35),"26-35",AND(HR_Data[[#This Row],[Age]]&gt;=36,HR_Data[[#This Row],[Age]]&lt;=45),"36-45",HR_Data[[#This Row],[Age]]&gt;45,"45+")</f>
        <v>45+</v>
      </c>
      <c r="AL7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54" spans="1:38"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f>IF(HR_Data[[#This Row],[Attrition]]="Yes",1,0)</f>
        <v>1</v>
      </c>
      <c r="AK754" t="str">
        <f>_xlfn.IFS(AND(HR_Data[[#This Row],[Age]]&gt;=18,HR_Data[[#This Row],[Age]]&lt;=25),"18-25",AND(HR_Data[[#This Row],[Age]]&gt;=26,HR_Data[[#This Row],[Age]]&lt;=35),"26-35",AND(HR_Data[[#This Row],[Age]]&gt;=36,HR_Data[[#This Row],[Age]]&lt;=45),"36-45",HR_Data[[#This Row],[Age]]&gt;45,"45+")</f>
        <v>36-45</v>
      </c>
      <c r="AL7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55" spans="1:38"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f>IF(HR_Data[[#This Row],[Attrition]]="Yes",1,0)</f>
        <v>0</v>
      </c>
      <c r="AK755" t="str">
        <f>_xlfn.IFS(AND(HR_Data[[#This Row],[Age]]&gt;=18,HR_Data[[#This Row],[Age]]&lt;=25),"18-25",AND(HR_Data[[#This Row],[Age]]&gt;=26,HR_Data[[#This Row],[Age]]&lt;=35),"26-35",AND(HR_Data[[#This Row],[Age]]&gt;=36,HR_Data[[#This Row],[Age]]&lt;=45),"36-45",HR_Data[[#This Row],[Age]]&gt;45,"45+")</f>
        <v>36-45</v>
      </c>
      <c r="AL7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56" spans="1:38"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f>IF(HR_Data[[#This Row],[Attrition]]="Yes",1,0)</f>
        <v>0</v>
      </c>
      <c r="AK756" t="str">
        <f>_xlfn.IFS(AND(HR_Data[[#This Row],[Age]]&gt;=18,HR_Data[[#This Row],[Age]]&lt;=25),"18-25",AND(HR_Data[[#This Row],[Age]]&gt;=26,HR_Data[[#This Row],[Age]]&lt;=35),"26-35",AND(HR_Data[[#This Row],[Age]]&gt;=36,HR_Data[[#This Row],[Age]]&lt;=45),"36-45",HR_Data[[#This Row],[Age]]&gt;45,"45+")</f>
        <v>26-35</v>
      </c>
      <c r="AL7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57" spans="1:38"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f>IF(HR_Data[[#This Row],[Attrition]]="Yes",1,0)</f>
        <v>0</v>
      </c>
      <c r="AK757" t="str">
        <f>_xlfn.IFS(AND(HR_Data[[#This Row],[Age]]&gt;=18,HR_Data[[#This Row],[Age]]&lt;=25),"18-25",AND(HR_Data[[#This Row],[Age]]&gt;=26,HR_Data[[#This Row],[Age]]&lt;=35),"26-35",AND(HR_Data[[#This Row],[Age]]&gt;=36,HR_Data[[#This Row],[Age]]&lt;=45),"36-45",HR_Data[[#This Row],[Age]]&gt;45,"45+")</f>
        <v>36-45</v>
      </c>
      <c r="AL7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58" spans="1:38"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f>IF(HR_Data[[#This Row],[Attrition]]="Yes",1,0)</f>
        <v>0</v>
      </c>
      <c r="AK758" t="str">
        <f>_xlfn.IFS(AND(HR_Data[[#This Row],[Age]]&gt;=18,HR_Data[[#This Row],[Age]]&lt;=25),"18-25",AND(HR_Data[[#This Row],[Age]]&gt;=26,HR_Data[[#This Row],[Age]]&lt;=35),"26-35",AND(HR_Data[[#This Row],[Age]]&gt;=36,HR_Data[[#This Row],[Age]]&lt;=45),"36-45",HR_Data[[#This Row],[Age]]&gt;45,"45+")</f>
        <v>26-35</v>
      </c>
      <c r="AL7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59" spans="1:38"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f>IF(HR_Data[[#This Row],[Attrition]]="Yes",1,0)</f>
        <v>0</v>
      </c>
      <c r="AK759" t="str">
        <f>_xlfn.IFS(AND(HR_Data[[#This Row],[Age]]&gt;=18,HR_Data[[#This Row],[Age]]&lt;=25),"18-25",AND(HR_Data[[#This Row],[Age]]&gt;=26,HR_Data[[#This Row],[Age]]&lt;=35),"26-35",AND(HR_Data[[#This Row],[Age]]&gt;=36,HR_Data[[#This Row],[Age]]&lt;=45),"36-45",HR_Data[[#This Row],[Age]]&gt;45,"45+")</f>
        <v>26-35</v>
      </c>
      <c r="AL7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60" spans="1:38"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f>IF(HR_Data[[#This Row],[Attrition]]="Yes",1,0)</f>
        <v>0</v>
      </c>
      <c r="AK760" t="str">
        <f>_xlfn.IFS(AND(HR_Data[[#This Row],[Age]]&gt;=18,HR_Data[[#This Row],[Age]]&lt;=25),"18-25",AND(HR_Data[[#This Row],[Age]]&gt;=26,HR_Data[[#This Row],[Age]]&lt;=35),"26-35",AND(HR_Data[[#This Row],[Age]]&gt;=36,HR_Data[[#This Row],[Age]]&lt;=45),"36-45",HR_Data[[#This Row],[Age]]&gt;45,"45+")</f>
        <v>45+</v>
      </c>
      <c r="AL7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61" spans="1:38"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f>IF(HR_Data[[#This Row],[Attrition]]="Yes",1,0)</f>
        <v>0</v>
      </c>
      <c r="AK761" t="str">
        <f>_xlfn.IFS(AND(HR_Data[[#This Row],[Age]]&gt;=18,HR_Data[[#This Row],[Age]]&lt;=25),"18-25",AND(HR_Data[[#This Row],[Age]]&gt;=26,HR_Data[[#This Row],[Age]]&lt;=35),"26-35",AND(HR_Data[[#This Row],[Age]]&gt;=36,HR_Data[[#This Row],[Age]]&lt;=45),"36-45",HR_Data[[#This Row],[Age]]&gt;45,"45+")</f>
        <v>36-45</v>
      </c>
      <c r="AL7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62" spans="1:38"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f>IF(HR_Data[[#This Row],[Attrition]]="Yes",1,0)</f>
        <v>0</v>
      </c>
      <c r="AK762" t="str">
        <f>_xlfn.IFS(AND(HR_Data[[#This Row],[Age]]&gt;=18,HR_Data[[#This Row],[Age]]&lt;=25),"18-25",AND(HR_Data[[#This Row],[Age]]&gt;=26,HR_Data[[#This Row],[Age]]&lt;=35),"26-35",AND(HR_Data[[#This Row],[Age]]&gt;=36,HR_Data[[#This Row],[Age]]&lt;=45),"36-45",HR_Data[[#This Row],[Age]]&gt;45,"45+")</f>
        <v>45+</v>
      </c>
      <c r="AL7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63" spans="1:38"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f>IF(HR_Data[[#This Row],[Attrition]]="Yes",1,0)</f>
        <v>1</v>
      </c>
      <c r="AK763" t="str">
        <f>_xlfn.IFS(AND(HR_Data[[#This Row],[Age]]&gt;=18,HR_Data[[#This Row],[Age]]&lt;=25),"18-25",AND(HR_Data[[#This Row],[Age]]&gt;=26,HR_Data[[#This Row],[Age]]&lt;=35),"26-35",AND(HR_Data[[#This Row],[Age]]&gt;=36,HR_Data[[#This Row],[Age]]&lt;=45),"36-45",HR_Data[[#This Row],[Age]]&gt;45,"45+")</f>
        <v>36-45</v>
      </c>
      <c r="AL7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64" spans="1:38"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f>IF(HR_Data[[#This Row],[Attrition]]="Yes",1,0)</f>
        <v>1</v>
      </c>
      <c r="AK764" t="str">
        <f>_xlfn.IFS(AND(HR_Data[[#This Row],[Age]]&gt;=18,HR_Data[[#This Row],[Age]]&lt;=25),"18-25",AND(HR_Data[[#This Row],[Age]]&gt;=26,HR_Data[[#This Row],[Age]]&lt;=35),"26-35",AND(HR_Data[[#This Row],[Age]]&gt;=36,HR_Data[[#This Row],[Age]]&lt;=45),"36-45",HR_Data[[#This Row],[Age]]&gt;45,"45+")</f>
        <v>26-35</v>
      </c>
      <c r="AL7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65" spans="1:38"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f>IF(HR_Data[[#This Row],[Attrition]]="Yes",1,0)</f>
        <v>0</v>
      </c>
      <c r="AK765" t="str">
        <f>_xlfn.IFS(AND(HR_Data[[#This Row],[Age]]&gt;=18,HR_Data[[#This Row],[Age]]&lt;=25),"18-25",AND(HR_Data[[#This Row],[Age]]&gt;=26,HR_Data[[#This Row],[Age]]&lt;=35),"26-35",AND(HR_Data[[#This Row],[Age]]&gt;=36,HR_Data[[#This Row],[Age]]&lt;=45),"36-45",HR_Data[[#This Row],[Age]]&gt;45,"45+")</f>
        <v>26-35</v>
      </c>
      <c r="AL7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66" spans="1:38"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f>IF(HR_Data[[#This Row],[Attrition]]="Yes",1,0)</f>
        <v>0</v>
      </c>
      <c r="AK766" t="str">
        <f>_xlfn.IFS(AND(HR_Data[[#This Row],[Age]]&gt;=18,HR_Data[[#This Row],[Age]]&lt;=25),"18-25",AND(HR_Data[[#This Row],[Age]]&gt;=26,HR_Data[[#This Row],[Age]]&lt;=35),"26-35",AND(HR_Data[[#This Row],[Age]]&gt;=36,HR_Data[[#This Row],[Age]]&lt;=45),"36-45",HR_Data[[#This Row],[Age]]&gt;45,"45+")</f>
        <v>26-35</v>
      </c>
      <c r="AL7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67" spans="1:38"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f>IF(HR_Data[[#This Row],[Attrition]]="Yes",1,0)</f>
        <v>0</v>
      </c>
      <c r="AK767" t="str">
        <f>_xlfn.IFS(AND(HR_Data[[#This Row],[Age]]&gt;=18,HR_Data[[#This Row],[Age]]&lt;=25),"18-25",AND(HR_Data[[#This Row],[Age]]&gt;=26,HR_Data[[#This Row],[Age]]&lt;=35),"26-35",AND(HR_Data[[#This Row],[Age]]&gt;=36,HR_Data[[#This Row],[Age]]&lt;=45),"36-45",HR_Data[[#This Row],[Age]]&gt;45,"45+")</f>
        <v>36-45</v>
      </c>
      <c r="AL7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68" spans="1:38"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f>IF(HR_Data[[#This Row],[Attrition]]="Yes",1,0)</f>
        <v>0</v>
      </c>
      <c r="AK768" t="str">
        <f>_xlfn.IFS(AND(HR_Data[[#This Row],[Age]]&gt;=18,HR_Data[[#This Row],[Age]]&lt;=25),"18-25",AND(HR_Data[[#This Row],[Age]]&gt;=26,HR_Data[[#This Row],[Age]]&lt;=35),"26-35",AND(HR_Data[[#This Row],[Age]]&gt;=36,HR_Data[[#This Row],[Age]]&lt;=45),"36-45",HR_Data[[#This Row],[Age]]&gt;45,"45+")</f>
        <v>45+</v>
      </c>
      <c r="AL7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69" spans="1:38"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f>IF(HR_Data[[#This Row],[Attrition]]="Yes",1,0)</f>
        <v>0</v>
      </c>
      <c r="AK769" t="str">
        <f>_xlfn.IFS(AND(HR_Data[[#This Row],[Age]]&gt;=18,HR_Data[[#This Row],[Age]]&lt;=25),"18-25",AND(HR_Data[[#This Row],[Age]]&gt;=26,HR_Data[[#This Row],[Age]]&lt;=35),"26-35",AND(HR_Data[[#This Row],[Age]]&gt;=36,HR_Data[[#This Row],[Age]]&lt;=45),"36-45",HR_Data[[#This Row],[Age]]&gt;45,"45+")</f>
        <v>36-45</v>
      </c>
      <c r="AL7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70" spans="1:38"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f>IF(HR_Data[[#This Row],[Attrition]]="Yes",1,0)</f>
        <v>0</v>
      </c>
      <c r="AK770" t="str">
        <f>_xlfn.IFS(AND(HR_Data[[#This Row],[Age]]&gt;=18,HR_Data[[#This Row],[Age]]&lt;=25),"18-25",AND(HR_Data[[#This Row],[Age]]&gt;=26,HR_Data[[#This Row],[Age]]&lt;=35),"26-35",AND(HR_Data[[#This Row],[Age]]&gt;=36,HR_Data[[#This Row],[Age]]&lt;=45),"36-45",HR_Data[[#This Row],[Age]]&gt;45,"45+")</f>
        <v>36-45</v>
      </c>
      <c r="AL7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71" spans="1:38"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f>IF(HR_Data[[#This Row],[Attrition]]="Yes",1,0)</f>
        <v>0</v>
      </c>
      <c r="AK771" t="str">
        <f>_xlfn.IFS(AND(HR_Data[[#This Row],[Age]]&gt;=18,HR_Data[[#This Row],[Age]]&lt;=25),"18-25",AND(HR_Data[[#This Row],[Age]]&gt;=26,HR_Data[[#This Row],[Age]]&lt;=35),"26-35",AND(HR_Data[[#This Row],[Age]]&gt;=36,HR_Data[[#This Row],[Age]]&lt;=45),"36-45",HR_Data[[#This Row],[Age]]&gt;45,"45+")</f>
        <v>26-35</v>
      </c>
      <c r="AL7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72" spans="1:38"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f>IF(HR_Data[[#This Row],[Attrition]]="Yes",1,0)</f>
        <v>0</v>
      </c>
      <c r="AK772" t="str">
        <f>_xlfn.IFS(AND(HR_Data[[#This Row],[Age]]&gt;=18,HR_Data[[#This Row],[Age]]&lt;=25),"18-25",AND(HR_Data[[#This Row],[Age]]&gt;=26,HR_Data[[#This Row],[Age]]&lt;=35),"26-35",AND(HR_Data[[#This Row],[Age]]&gt;=36,HR_Data[[#This Row],[Age]]&lt;=45),"36-45",HR_Data[[#This Row],[Age]]&gt;45,"45+")</f>
        <v>45+</v>
      </c>
      <c r="AL7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73" spans="1:38"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f>IF(HR_Data[[#This Row],[Attrition]]="Yes",1,0)</f>
        <v>0</v>
      </c>
      <c r="AK773" t="str">
        <f>_xlfn.IFS(AND(HR_Data[[#This Row],[Age]]&gt;=18,HR_Data[[#This Row],[Age]]&lt;=25),"18-25",AND(HR_Data[[#This Row],[Age]]&gt;=26,HR_Data[[#This Row],[Age]]&lt;=35),"26-35",AND(HR_Data[[#This Row],[Age]]&gt;=36,HR_Data[[#This Row],[Age]]&lt;=45),"36-45",HR_Data[[#This Row],[Age]]&gt;45,"45+")</f>
        <v>45+</v>
      </c>
      <c r="AL7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74" spans="1:38"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f>IF(HR_Data[[#This Row],[Attrition]]="Yes",1,0)</f>
        <v>0</v>
      </c>
      <c r="AK774" t="str">
        <f>_xlfn.IFS(AND(HR_Data[[#This Row],[Age]]&gt;=18,HR_Data[[#This Row],[Age]]&lt;=25),"18-25",AND(HR_Data[[#This Row],[Age]]&gt;=26,HR_Data[[#This Row],[Age]]&lt;=35),"26-35",AND(HR_Data[[#This Row],[Age]]&gt;=36,HR_Data[[#This Row],[Age]]&lt;=45),"36-45",HR_Data[[#This Row],[Age]]&gt;45,"45+")</f>
        <v>45+</v>
      </c>
      <c r="AL7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75" spans="1:38"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f>IF(HR_Data[[#This Row],[Attrition]]="Yes",1,0)</f>
        <v>0</v>
      </c>
      <c r="AK775" t="str">
        <f>_xlfn.IFS(AND(HR_Data[[#This Row],[Age]]&gt;=18,HR_Data[[#This Row],[Age]]&lt;=25),"18-25",AND(HR_Data[[#This Row],[Age]]&gt;=26,HR_Data[[#This Row],[Age]]&lt;=35),"26-35",AND(HR_Data[[#This Row],[Age]]&gt;=36,HR_Data[[#This Row],[Age]]&lt;=45),"36-45",HR_Data[[#This Row],[Age]]&gt;45,"45+")</f>
        <v>36-45</v>
      </c>
      <c r="AL7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76" spans="1:38"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f>IF(HR_Data[[#This Row],[Attrition]]="Yes",1,0)</f>
        <v>0</v>
      </c>
      <c r="AK776" t="str">
        <f>_xlfn.IFS(AND(HR_Data[[#This Row],[Age]]&gt;=18,HR_Data[[#This Row],[Age]]&lt;=25),"18-25",AND(HR_Data[[#This Row],[Age]]&gt;=26,HR_Data[[#This Row],[Age]]&lt;=35),"26-35",AND(HR_Data[[#This Row],[Age]]&gt;=36,HR_Data[[#This Row],[Age]]&lt;=45),"36-45",HR_Data[[#This Row],[Age]]&gt;45,"45+")</f>
        <v>45+</v>
      </c>
      <c r="AL7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77" spans="1:38"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f>IF(HR_Data[[#This Row],[Attrition]]="Yes",1,0)</f>
        <v>0</v>
      </c>
      <c r="AK777" t="str">
        <f>_xlfn.IFS(AND(HR_Data[[#This Row],[Age]]&gt;=18,HR_Data[[#This Row],[Age]]&lt;=25),"18-25",AND(HR_Data[[#This Row],[Age]]&gt;=26,HR_Data[[#This Row],[Age]]&lt;=35),"26-35",AND(HR_Data[[#This Row],[Age]]&gt;=36,HR_Data[[#This Row],[Age]]&lt;=45),"36-45",HR_Data[[#This Row],[Age]]&gt;45,"45+")</f>
        <v>36-45</v>
      </c>
      <c r="AL7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78" spans="1:38"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f>IF(HR_Data[[#This Row],[Attrition]]="Yes",1,0)</f>
        <v>1</v>
      </c>
      <c r="AK778" t="str">
        <f>_xlfn.IFS(AND(HR_Data[[#This Row],[Age]]&gt;=18,HR_Data[[#This Row],[Age]]&lt;=25),"18-25",AND(HR_Data[[#This Row],[Age]]&gt;=26,HR_Data[[#This Row],[Age]]&lt;=35),"26-35",AND(HR_Data[[#This Row],[Age]]&gt;=36,HR_Data[[#This Row],[Age]]&lt;=45),"36-45",HR_Data[[#This Row],[Age]]&gt;45,"45+")</f>
        <v>18-25</v>
      </c>
      <c r="AL7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79" spans="1:38"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f>IF(HR_Data[[#This Row],[Attrition]]="Yes",1,0)</f>
        <v>1</v>
      </c>
      <c r="AK779" t="str">
        <f>_xlfn.IFS(AND(HR_Data[[#This Row],[Age]]&gt;=18,HR_Data[[#This Row],[Age]]&lt;=25),"18-25",AND(HR_Data[[#This Row],[Age]]&gt;=26,HR_Data[[#This Row],[Age]]&lt;=35),"26-35",AND(HR_Data[[#This Row],[Age]]&gt;=36,HR_Data[[#This Row],[Age]]&lt;=45),"36-45",HR_Data[[#This Row],[Age]]&gt;45,"45+")</f>
        <v>18-25</v>
      </c>
      <c r="AL7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80" spans="1:38"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f>IF(HR_Data[[#This Row],[Attrition]]="Yes",1,0)</f>
        <v>0</v>
      </c>
      <c r="AK780" t="str">
        <f>_xlfn.IFS(AND(HR_Data[[#This Row],[Age]]&gt;=18,HR_Data[[#This Row],[Age]]&lt;=25),"18-25",AND(HR_Data[[#This Row],[Age]]&gt;=26,HR_Data[[#This Row],[Age]]&lt;=35),"26-35",AND(HR_Data[[#This Row],[Age]]&gt;=36,HR_Data[[#This Row],[Age]]&lt;=45),"36-45",HR_Data[[#This Row],[Age]]&gt;45,"45+")</f>
        <v>45+</v>
      </c>
      <c r="AL7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81" spans="1:38"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f>IF(HR_Data[[#This Row],[Attrition]]="Yes",1,0)</f>
        <v>1</v>
      </c>
      <c r="AK781" t="str">
        <f>_xlfn.IFS(AND(HR_Data[[#This Row],[Age]]&gt;=18,HR_Data[[#This Row],[Age]]&lt;=25),"18-25",AND(HR_Data[[#This Row],[Age]]&gt;=26,HR_Data[[#This Row],[Age]]&lt;=35),"26-35",AND(HR_Data[[#This Row],[Age]]&gt;=36,HR_Data[[#This Row],[Age]]&lt;=45),"36-45",HR_Data[[#This Row],[Age]]&gt;45,"45+")</f>
        <v>45+</v>
      </c>
      <c r="AL7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82" spans="1:38"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f>IF(HR_Data[[#This Row],[Attrition]]="Yes",1,0)</f>
        <v>1</v>
      </c>
      <c r="AK782" t="str">
        <f>_xlfn.IFS(AND(HR_Data[[#This Row],[Age]]&gt;=18,HR_Data[[#This Row],[Age]]&lt;=25),"18-25",AND(HR_Data[[#This Row],[Age]]&gt;=26,HR_Data[[#This Row],[Age]]&lt;=35),"26-35",AND(HR_Data[[#This Row],[Age]]&gt;=36,HR_Data[[#This Row],[Age]]&lt;=45),"36-45",HR_Data[[#This Row],[Age]]&gt;45,"45+")</f>
        <v>26-35</v>
      </c>
      <c r="AL7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83" spans="1:38"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f>IF(HR_Data[[#This Row],[Attrition]]="Yes",1,0)</f>
        <v>0</v>
      </c>
      <c r="AK783" t="str">
        <f>_xlfn.IFS(AND(HR_Data[[#This Row],[Age]]&gt;=18,HR_Data[[#This Row],[Age]]&lt;=25),"18-25",AND(HR_Data[[#This Row],[Age]]&gt;=26,HR_Data[[#This Row],[Age]]&lt;=35),"26-35",AND(HR_Data[[#This Row],[Age]]&gt;=36,HR_Data[[#This Row],[Age]]&lt;=45),"36-45",HR_Data[[#This Row],[Age]]&gt;45,"45+")</f>
        <v>26-35</v>
      </c>
      <c r="AL7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84" spans="1:38"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f>IF(HR_Data[[#This Row],[Attrition]]="Yes",1,0)</f>
        <v>0</v>
      </c>
      <c r="AK784" t="str">
        <f>_xlfn.IFS(AND(HR_Data[[#This Row],[Age]]&gt;=18,HR_Data[[#This Row],[Age]]&lt;=25),"18-25",AND(HR_Data[[#This Row],[Age]]&gt;=26,HR_Data[[#This Row],[Age]]&lt;=35),"26-35",AND(HR_Data[[#This Row],[Age]]&gt;=36,HR_Data[[#This Row],[Age]]&lt;=45),"36-45",HR_Data[[#This Row],[Age]]&gt;45,"45+")</f>
        <v>26-35</v>
      </c>
      <c r="AL7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85" spans="1:38"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f>IF(HR_Data[[#This Row],[Attrition]]="Yes",1,0)</f>
        <v>0</v>
      </c>
      <c r="AK785" t="str">
        <f>_xlfn.IFS(AND(HR_Data[[#This Row],[Age]]&gt;=18,HR_Data[[#This Row],[Age]]&lt;=25),"18-25",AND(HR_Data[[#This Row],[Age]]&gt;=26,HR_Data[[#This Row],[Age]]&lt;=35),"26-35",AND(HR_Data[[#This Row],[Age]]&gt;=36,HR_Data[[#This Row],[Age]]&lt;=45),"36-45",HR_Data[[#This Row],[Age]]&gt;45,"45+")</f>
        <v>36-45</v>
      </c>
      <c r="AL7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86" spans="1:38"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f>IF(HR_Data[[#This Row],[Attrition]]="Yes",1,0)</f>
        <v>0</v>
      </c>
      <c r="AK786" t="str">
        <f>_xlfn.IFS(AND(HR_Data[[#This Row],[Age]]&gt;=18,HR_Data[[#This Row],[Age]]&lt;=25),"18-25",AND(HR_Data[[#This Row],[Age]]&gt;=26,HR_Data[[#This Row],[Age]]&lt;=35),"26-35",AND(HR_Data[[#This Row],[Age]]&gt;=36,HR_Data[[#This Row],[Age]]&lt;=45),"36-45",HR_Data[[#This Row],[Age]]&gt;45,"45+")</f>
        <v>36-45</v>
      </c>
      <c r="AL7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87" spans="1:38"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f>IF(HR_Data[[#This Row],[Attrition]]="Yes",1,0)</f>
        <v>0</v>
      </c>
      <c r="AK787" t="str">
        <f>_xlfn.IFS(AND(HR_Data[[#This Row],[Age]]&gt;=18,HR_Data[[#This Row],[Age]]&lt;=25),"18-25",AND(HR_Data[[#This Row],[Age]]&gt;=26,HR_Data[[#This Row],[Age]]&lt;=35),"26-35",AND(HR_Data[[#This Row],[Age]]&gt;=36,HR_Data[[#This Row],[Age]]&lt;=45),"36-45",HR_Data[[#This Row],[Age]]&gt;45,"45+")</f>
        <v>36-45</v>
      </c>
      <c r="AL7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88" spans="1:38"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f>IF(HR_Data[[#This Row],[Attrition]]="Yes",1,0)</f>
        <v>0</v>
      </c>
      <c r="AK788" t="str">
        <f>_xlfn.IFS(AND(HR_Data[[#This Row],[Age]]&gt;=18,HR_Data[[#This Row],[Age]]&lt;=25),"18-25",AND(HR_Data[[#This Row],[Age]]&gt;=26,HR_Data[[#This Row],[Age]]&lt;=35),"26-35",AND(HR_Data[[#This Row],[Age]]&gt;=36,HR_Data[[#This Row],[Age]]&lt;=45),"36-45",HR_Data[[#This Row],[Age]]&gt;45,"45+")</f>
        <v>26-35</v>
      </c>
      <c r="AL7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89" spans="1:38"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f>IF(HR_Data[[#This Row],[Attrition]]="Yes",1,0)</f>
        <v>0</v>
      </c>
      <c r="AK789" t="str">
        <f>_xlfn.IFS(AND(HR_Data[[#This Row],[Age]]&gt;=18,HR_Data[[#This Row],[Age]]&lt;=25),"18-25",AND(HR_Data[[#This Row],[Age]]&gt;=26,HR_Data[[#This Row],[Age]]&lt;=35),"26-35",AND(HR_Data[[#This Row],[Age]]&gt;=36,HR_Data[[#This Row],[Age]]&lt;=45),"36-45",HR_Data[[#This Row],[Age]]&gt;45,"45+")</f>
        <v>45+</v>
      </c>
      <c r="AL7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90" spans="1:38"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f>IF(HR_Data[[#This Row],[Attrition]]="Yes",1,0)</f>
        <v>0</v>
      </c>
      <c r="AK790" t="str">
        <f>_xlfn.IFS(AND(HR_Data[[#This Row],[Age]]&gt;=18,HR_Data[[#This Row],[Age]]&lt;=25),"18-25",AND(HR_Data[[#This Row],[Age]]&gt;=26,HR_Data[[#This Row],[Age]]&lt;=35),"26-35",AND(HR_Data[[#This Row],[Age]]&gt;=36,HR_Data[[#This Row],[Age]]&lt;=45),"36-45",HR_Data[[#This Row],[Age]]&gt;45,"45+")</f>
        <v>26-35</v>
      </c>
      <c r="AL7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91" spans="1:38"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f>IF(HR_Data[[#This Row],[Attrition]]="Yes",1,0)</f>
        <v>1</v>
      </c>
      <c r="AK791" t="str">
        <f>_xlfn.IFS(AND(HR_Data[[#This Row],[Age]]&gt;=18,HR_Data[[#This Row],[Age]]&lt;=25),"18-25",AND(HR_Data[[#This Row],[Age]]&gt;=26,HR_Data[[#This Row],[Age]]&lt;=35),"26-35",AND(HR_Data[[#This Row],[Age]]&gt;=36,HR_Data[[#This Row],[Age]]&lt;=45),"36-45",HR_Data[[#This Row],[Age]]&gt;45,"45+")</f>
        <v>36-45</v>
      </c>
      <c r="AL7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92" spans="1:38"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f>IF(HR_Data[[#This Row],[Attrition]]="Yes",1,0)</f>
        <v>0</v>
      </c>
      <c r="AK792" t="str">
        <f>_xlfn.IFS(AND(HR_Data[[#This Row],[Age]]&gt;=18,HR_Data[[#This Row],[Age]]&lt;=25),"18-25",AND(HR_Data[[#This Row],[Age]]&gt;=26,HR_Data[[#This Row],[Age]]&lt;=35),"26-35",AND(HR_Data[[#This Row],[Age]]&gt;=36,HR_Data[[#This Row],[Age]]&lt;=45),"36-45",HR_Data[[#This Row],[Age]]&gt;45,"45+")</f>
        <v>26-35</v>
      </c>
      <c r="AL7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93" spans="1:38"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f>IF(HR_Data[[#This Row],[Attrition]]="Yes",1,0)</f>
        <v>1</v>
      </c>
      <c r="AK793" t="str">
        <f>_xlfn.IFS(AND(HR_Data[[#This Row],[Age]]&gt;=18,HR_Data[[#This Row],[Age]]&lt;=25),"18-25",AND(HR_Data[[#This Row],[Age]]&gt;=26,HR_Data[[#This Row],[Age]]&lt;=35),"26-35",AND(HR_Data[[#This Row],[Age]]&gt;=36,HR_Data[[#This Row],[Age]]&lt;=45),"36-45",HR_Data[[#This Row],[Age]]&gt;45,"45+")</f>
        <v>26-35</v>
      </c>
      <c r="AL7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94" spans="1:38"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f>IF(HR_Data[[#This Row],[Attrition]]="Yes",1,0)</f>
        <v>1</v>
      </c>
      <c r="AK794" t="str">
        <f>_xlfn.IFS(AND(HR_Data[[#This Row],[Age]]&gt;=18,HR_Data[[#This Row],[Age]]&lt;=25),"18-25",AND(HR_Data[[#This Row],[Age]]&gt;=26,HR_Data[[#This Row],[Age]]&lt;=35),"26-35",AND(HR_Data[[#This Row],[Age]]&gt;=36,HR_Data[[#This Row],[Age]]&lt;=45),"36-45",HR_Data[[#This Row],[Age]]&gt;45,"45+")</f>
        <v>26-35</v>
      </c>
      <c r="AL7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795" spans="1:38"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f>IF(HR_Data[[#This Row],[Attrition]]="Yes",1,0)</f>
        <v>0</v>
      </c>
      <c r="AK795" t="str">
        <f>_xlfn.IFS(AND(HR_Data[[#This Row],[Age]]&gt;=18,HR_Data[[#This Row],[Age]]&lt;=25),"18-25",AND(HR_Data[[#This Row],[Age]]&gt;=26,HR_Data[[#This Row],[Age]]&lt;=35),"26-35",AND(HR_Data[[#This Row],[Age]]&gt;=36,HR_Data[[#This Row],[Age]]&lt;=45),"36-45",HR_Data[[#This Row],[Age]]&gt;45,"45+")</f>
        <v>26-35</v>
      </c>
      <c r="AL7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796" spans="1:38"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f>IF(HR_Data[[#This Row],[Attrition]]="Yes",1,0)</f>
        <v>0</v>
      </c>
      <c r="AK796" t="str">
        <f>_xlfn.IFS(AND(HR_Data[[#This Row],[Age]]&gt;=18,HR_Data[[#This Row],[Age]]&lt;=25),"18-25",AND(HR_Data[[#This Row],[Age]]&gt;=26,HR_Data[[#This Row],[Age]]&lt;=35),"26-35",AND(HR_Data[[#This Row],[Age]]&gt;=36,HR_Data[[#This Row],[Age]]&lt;=45),"36-45",HR_Data[[#This Row],[Age]]&gt;45,"45+")</f>
        <v>26-35</v>
      </c>
      <c r="AL7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97" spans="1:38"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f>IF(HR_Data[[#This Row],[Attrition]]="Yes",1,0)</f>
        <v>0</v>
      </c>
      <c r="AK797" t="str">
        <f>_xlfn.IFS(AND(HR_Data[[#This Row],[Age]]&gt;=18,HR_Data[[#This Row],[Age]]&lt;=25),"18-25",AND(HR_Data[[#This Row],[Age]]&gt;=26,HR_Data[[#This Row],[Age]]&lt;=35),"26-35",AND(HR_Data[[#This Row],[Age]]&gt;=36,HR_Data[[#This Row],[Age]]&lt;=45),"36-45",HR_Data[[#This Row],[Age]]&gt;45,"45+")</f>
        <v>36-45</v>
      </c>
      <c r="AL7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798" spans="1:38"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f>IF(HR_Data[[#This Row],[Attrition]]="Yes",1,0)</f>
        <v>1</v>
      </c>
      <c r="AK798" t="str">
        <f>_xlfn.IFS(AND(HR_Data[[#This Row],[Age]]&gt;=18,HR_Data[[#This Row],[Age]]&lt;=25),"18-25",AND(HR_Data[[#This Row],[Age]]&gt;=26,HR_Data[[#This Row],[Age]]&lt;=35),"26-35",AND(HR_Data[[#This Row],[Age]]&gt;=36,HR_Data[[#This Row],[Age]]&lt;=45),"36-45",HR_Data[[#This Row],[Age]]&gt;45,"45+")</f>
        <v>18-25</v>
      </c>
      <c r="AL7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799" spans="1:38"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f>IF(HR_Data[[#This Row],[Attrition]]="Yes",1,0)</f>
        <v>1</v>
      </c>
      <c r="AK799" t="str">
        <f>_xlfn.IFS(AND(HR_Data[[#This Row],[Age]]&gt;=18,HR_Data[[#This Row],[Age]]&lt;=25),"18-25",AND(HR_Data[[#This Row],[Age]]&gt;=26,HR_Data[[#This Row],[Age]]&lt;=35),"26-35",AND(HR_Data[[#This Row],[Age]]&gt;=36,HR_Data[[#This Row],[Age]]&lt;=45),"36-45",HR_Data[[#This Row],[Age]]&gt;45,"45+")</f>
        <v>26-35</v>
      </c>
      <c r="AL7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00" spans="1:38"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f>IF(HR_Data[[#This Row],[Attrition]]="Yes",1,0)</f>
        <v>1</v>
      </c>
      <c r="AK800" t="str">
        <f>_xlfn.IFS(AND(HR_Data[[#This Row],[Age]]&gt;=18,HR_Data[[#This Row],[Age]]&lt;=25),"18-25",AND(HR_Data[[#This Row],[Age]]&gt;=26,HR_Data[[#This Row],[Age]]&lt;=35),"26-35",AND(HR_Data[[#This Row],[Age]]&gt;=36,HR_Data[[#This Row],[Age]]&lt;=45),"36-45",HR_Data[[#This Row],[Age]]&gt;45,"45+")</f>
        <v>26-35</v>
      </c>
      <c r="AL8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01" spans="1:38"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f>IF(HR_Data[[#This Row],[Attrition]]="Yes",1,0)</f>
        <v>0</v>
      </c>
      <c r="AK801" t="str">
        <f>_xlfn.IFS(AND(HR_Data[[#This Row],[Age]]&gt;=18,HR_Data[[#This Row],[Age]]&lt;=25),"18-25",AND(HR_Data[[#This Row],[Age]]&gt;=26,HR_Data[[#This Row],[Age]]&lt;=35),"26-35",AND(HR_Data[[#This Row],[Age]]&gt;=36,HR_Data[[#This Row],[Age]]&lt;=45),"36-45",HR_Data[[#This Row],[Age]]&gt;45,"45+")</f>
        <v>36-45</v>
      </c>
      <c r="AL8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02" spans="1:38"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f>IF(HR_Data[[#This Row],[Attrition]]="Yes",1,0)</f>
        <v>1</v>
      </c>
      <c r="AK802" t="str">
        <f>_xlfn.IFS(AND(HR_Data[[#This Row],[Age]]&gt;=18,HR_Data[[#This Row],[Age]]&lt;=25),"18-25",AND(HR_Data[[#This Row],[Age]]&gt;=26,HR_Data[[#This Row],[Age]]&lt;=35),"26-35",AND(HR_Data[[#This Row],[Age]]&gt;=36,HR_Data[[#This Row],[Age]]&lt;=45),"36-45",HR_Data[[#This Row],[Age]]&gt;45,"45+")</f>
        <v>26-35</v>
      </c>
      <c r="AL8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03" spans="1:38"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f>IF(HR_Data[[#This Row],[Attrition]]="Yes",1,0)</f>
        <v>1</v>
      </c>
      <c r="AK803" t="str">
        <f>_xlfn.IFS(AND(HR_Data[[#This Row],[Age]]&gt;=18,HR_Data[[#This Row],[Age]]&lt;=25),"18-25",AND(HR_Data[[#This Row],[Age]]&gt;=26,HR_Data[[#This Row],[Age]]&lt;=35),"26-35",AND(HR_Data[[#This Row],[Age]]&gt;=36,HR_Data[[#This Row],[Age]]&lt;=45),"36-45",HR_Data[[#This Row],[Age]]&gt;45,"45+")</f>
        <v>45+</v>
      </c>
      <c r="AL8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04" spans="1:38"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f>IF(HR_Data[[#This Row],[Attrition]]="Yes",1,0)</f>
        <v>0</v>
      </c>
      <c r="AK804" t="str">
        <f>_xlfn.IFS(AND(HR_Data[[#This Row],[Age]]&gt;=18,HR_Data[[#This Row],[Age]]&lt;=25),"18-25",AND(HR_Data[[#This Row],[Age]]&gt;=26,HR_Data[[#This Row],[Age]]&lt;=35),"26-35",AND(HR_Data[[#This Row],[Age]]&gt;=36,HR_Data[[#This Row],[Age]]&lt;=45),"36-45",HR_Data[[#This Row],[Age]]&gt;45,"45+")</f>
        <v>26-35</v>
      </c>
      <c r="AL8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05" spans="1:38"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f>IF(HR_Data[[#This Row],[Attrition]]="Yes",1,0)</f>
        <v>0</v>
      </c>
      <c r="AK805" t="str">
        <f>_xlfn.IFS(AND(HR_Data[[#This Row],[Age]]&gt;=18,HR_Data[[#This Row],[Age]]&lt;=25),"18-25",AND(HR_Data[[#This Row],[Age]]&gt;=26,HR_Data[[#This Row],[Age]]&lt;=35),"26-35",AND(HR_Data[[#This Row],[Age]]&gt;=36,HR_Data[[#This Row],[Age]]&lt;=45),"36-45",HR_Data[[#This Row],[Age]]&gt;45,"45+")</f>
        <v>26-35</v>
      </c>
      <c r="AL8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06" spans="1:38"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f>IF(HR_Data[[#This Row],[Attrition]]="Yes",1,0)</f>
        <v>0</v>
      </c>
      <c r="AK806" t="str">
        <f>_xlfn.IFS(AND(HR_Data[[#This Row],[Age]]&gt;=18,HR_Data[[#This Row],[Age]]&lt;=25),"18-25",AND(HR_Data[[#This Row],[Age]]&gt;=26,HR_Data[[#This Row],[Age]]&lt;=35),"26-35",AND(HR_Data[[#This Row],[Age]]&gt;=36,HR_Data[[#This Row],[Age]]&lt;=45),"36-45",HR_Data[[#This Row],[Age]]&gt;45,"45+")</f>
        <v>45+</v>
      </c>
      <c r="AL8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07" spans="1:38"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f>IF(HR_Data[[#This Row],[Attrition]]="Yes",1,0)</f>
        <v>0</v>
      </c>
      <c r="AK807" t="str">
        <f>_xlfn.IFS(AND(HR_Data[[#This Row],[Age]]&gt;=18,HR_Data[[#This Row],[Age]]&lt;=25),"18-25",AND(HR_Data[[#This Row],[Age]]&gt;=26,HR_Data[[#This Row],[Age]]&lt;=35),"26-35",AND(HR_Data[[#This Row],[Age]]&gt;=36,HR_Data[[#This Row],[Age]]&lt;=45),"36-45",HR_Data[[#This Row],[Age]]&gt;45,"45+")</f>
        <v>36-45</v>
      </c>
      <c r="AL8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08" spans="1:38"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f>IF(HR_Data[[#This Row],[Attrition]]="Yes",1,0)</f>
        <v>0</v>
      </c>
      <c r="AK808" t="str">
        <f>_xlfn.IFS(AND(HR_Data[[#This Row],[Age]]&gt;=18,HR_Data[[#This Row],[Age]]&lt;=25),"18-25",AND(HR_Data[[#This Row],[Age]]&gt;=26,HR_Data[[#This Row],[Age]]&lt;=35),"26-35",AND(HR_Data[[#This Row],[Age]]&gt;=36,HR_Data[[#This Row],[Age]]&lt;=45),"36-45",HR_Data[[#This Row],[Age]]&gt;45,"45+")</f>
        <v>45+</v>
      </c>
      <c r="AL8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09" spans="1:38"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f>IF(HR_Data[[#This Row],[Attrition]]="Yes",1,0)</f>
        <v>0</v>
      </c>
      <c r="AK809" t="str">
        <f>_xlfn.IFS(AND(HR_Data[[#This Row],[Age]]&gt;=18,HR_Data[[#This Row],[Age]]&lt;=25),"18-25",AND(HR_Data[[#This Row],[Age]]&gt;=26,HR_Data[[#This Row],[Age]]&lt;=35),"26-35",AND(HR_Data[[#This Row],[Age]]&gt;=36,HR_Data[[#This Row],[Age]]&lt;=45),"36-45",HR_Data[[#This Row],[Age]]&gt;45,"45+")</f>
        <v>36-45</v>
      </c>
      <c r="AL8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10" spans="1:38"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f>IF(HR_Data[[#This Row],[Attrition]]="Yes",1,0)</f>
        <v>0</v>
      </c>
      <c r="AK810" t="str">
        <f>_xlfn.IFS(AND(HR_Data[[#This Row],[Age]]&gt;=18,HR_Data[[#This Row],[Age]]&lt;=25),"18-25",AND(HR_Data[[#This Row],[Age]]&gt;=26,HR_Data[[#This Row],[Age]]&lt;=35),"26-35",AND(HR_Data[[#This Row],[Age]]&gt;=36,HR_Data[[#This Row],[Age]]&lt;=45),"36-45",HR_Data[[#This Row],[Age]]&gt;45,"45+")</f>
        <v>26-35</v>
      </c>
      <c r="AL8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11" spans="1:38"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f>IF(HR_Data[[#This Row],[Attrition]]="Yes",1,0)</f>
        <v>0</v>
      </c>
      <c r="AK811" t="str">
        <f>_xlfn.IFS(AND(HR_Data[[#This Row],[Age]]&gt;=18,HR_Data[[#This Row],[Age]]&lt;=25),"18-25",AND(HR_Data[[#This Row],[Age]]&gt;=26,HR_Data[[#This Row],[Age]]&lt;=35),"26-35",AND(HR_Data[[#This Row],[Age]]&gt;=36,HR_Data[[#This Row],[Age]]&lt;=45),"36-45",HR_Data[[#This Row],[Age]]&gt;45,"45+")</f>
        <v>26-35</v>
      </c>
      <c r="AL8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12" spans="1:38"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f>IF(HR_Data[[#This Row],[Attrition]]="Yes",1,0)</f>
        <v>0</v>
      </c>
      <c r="AK812" t="str">
        <f>_xlfn.IFS(AND(HR_Data[[#This Row],[Age]]&gt;=18,HR_Data[[#This Row],[Age]]&lt;=25),"18-25",AND(HR_Data[[#This Row],[Age]]&gt;=26,HR_Data[[#This Row],[Age]]&lt;=35),"26-35",AND(HR_Data[[#This Row],[Age]]&gt;=36,HR_Data[[#This Row],[Age]]&lt;=45),"36-45",HR_Data[[#This Row],[Age]]&gt;45,"45+")</f>
        <v>45+</v>
      </c>
      <c r="AL8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13" spans="1:38"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f>IF(HR_Data[[#This Row],[Attrition]]="Yes",1,0)</f>
        <v>0</v>
      </c>
      <c r="AK813" t="str">
        <f>_xlfn.IFS(AND(HR_Data[[#This Row],[Age]]&gt;=18,HR_Data[[#This Row],[Age]]&lt;=25),"18-25",AND(HR_Data[[#This Row],[Age]]&gt;=26,HR_Data[[#This Row],[Age]]&lt;=35),"26-35",AND(HR_Data[[#This Row],[Age]]&gt;=36,HR_Data[[#This Row],[Age]]&lt;=45),"36-45",HR_Data[[#This Row],[Age]]&gt;45,"45+")</f>
        <v>36-45</v>
      </c>
      <c r="AL8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14" spans="1:38"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f>IF(HR_Data[[#This Row],[Attrition]]="Yes",1,0)</f>
        <v>0</v>
      </c>
      <c r="AK814" t="str">
        <f>_xlfn.IFS(AND(HR_Data[[#This Row],[Age]]&gt;=18,HR_Data[[#This Row],[Age]]&lt;=25),"18-25",AND(HR_Data[[#This Row],[Age]]&gt;=26,HR_Data[[#This Row],[Age]]&lt;=35),"26-35",AND(HR_Data[[#This Row],[Age]]&gt;=36,HR_Data[[#This Row],[Age]]&lt;=45),"36-45",HR_Data[[#This Row],[Age]]&gt;45,"45+")</f>
        <v>36-45</v>
      </c>
      <c r="AL8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15" spans="1:38"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f>IF(HR_Data[[#This Row],[Attrition]]="Yes",1,0)</f>
        <v>1</v>
      </c>
      <c r="AK815" t="str">
        <f>_xlfn.IFS(AND(HR_Data[[#This Row],[Age]]&gt;=18,HR_Data[[#This Row],[Age]]&lt;=25),"18-25",AND(HR_Data[[#This Row],[Age]]&gt;=26,HR_Data[[#This Row],[Age]]&lt;=35),"26-35",AND(HR_Data[[#This Row],[Age]]&gt;=36,HR_Data[[#This Row],[Age]]&lt;=45),"36-45",HR_Data[[#This Row],[Age]]&gt;45,"45+")</f>
        <v>36-45</v>
      </c>
      <c r="AL8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16" spans="1:38"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f>IF(HR_Data[[#This Row],[Attrition]]="Yes",1,0)</f>
        <v>0</v>
      </c>
      <c r="AK816" t="str">
        <f>_xlfn.IFS(AND(HR_Data[[#This Row],[Age]]&gt;=18,HR_Data[[#This Row],[Age]]&lt;=25),"18-25",AND(HR_Data[[#This Row],[Age]]&gt;=26,HR_Data[[#This Row],[Age]]&lt;=35),"26-35",AND(HR_Data[[#This Row],[Age]]&gt;=36,HR_Data[[#This Row],[Age]]&lt;=45),"36-45",HR_Data[[#This Row],[Age]]&gt;45,"45+")</f>
        <v>36-45</v>
      </c>
      <c r="AL8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17" spans="1:38"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f>IF(HR_Data[[#This Row],[Attrition]]="Yes",1,0)</f>
        <v>0</v>
      </c>
      <c r="AK817" t="str">
        <f>_xlfn.IFS(AND(HR_Data[[#This Row],[Age]]&gt;=18,HR_Data[[#This Row],[Age]]&lt;=25),"18-25",AND(HR_Data[[#This Row],[Age]]&gt;=26,HR_Data[[#This Row],[Age]]&lt;=35),"26-35",AND(HR_Data[[#This Row],[Age]]&gt;=36,HR_Data[[#This Row],[Age]]&lt;=45),"36-45",HR_Data[[#This Row],[Age]]&gt;45,"45+")</f>
        <v>18-25</v>
      </c>
      <c r="AL8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18" spans="1:38"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f>IF(HR_Data[[#This Row],[Attrition]]="Yes",1,0)</f>
        <v>0</v>
      </c>
      <c r="AK818" t="str">
        <f>_xlfn.IFS(AND(HR_Data[[#This Row],[Age]]&gt;=18,HR_Data[[#This Row],[Age]]&lt;=25),"18-25",AND(HR_Data[[#This Row],[Age]]&gt;=26,HR_Data[[#This Row],[Age]]&lt;=35),"26-35",AND(HR_Data[[#This Row],[Age]]&gt;=36,HR_Data[[#This Row],[Age]]&lt;=45),"36-45",HR_Data[[#This Row],[Age]]&gt;45,"45+")</f>
        <v>36-45</v>
      </c>
      <c r="AL8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19" spans="1:38"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f>IF(HR_Data[[#This Row],[Attrition]]="Yes",1,0)</f>
        <v>0</v>
      </c>
      <c r="AK819" t="str">
        <f>_xlfn.IFS(AND(HR_Data[[#This Row],[Age]]&gt;=18,HR_Data[[#This Row],[Age]]&lt;=25),"18-25",AND(HR_Data[[#This Row],[Age]]&gt;=26,HR_Data[[#This Row],[Age]]&lt;=35),"26-35",AND(HR_Data[[#This Row],[Age]]&gt;=36,HR_Data[[#This Row],[Age]]&lt;=45),"36-45",HR_Data[[#This Row],[Age]]&gt;45,"45+")</f>
        <v>36-45</v>
      </c>
      <c r="AL8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20" spans="1:38"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f>IF(HR_Data[[#This Row],[Attrition]]="Yes",1,0)</f>
        <v>0</v>
      </c>
      <c r="AK820" t="str">
        <f>_xlfn.IFS(AND(HR_Data[[#This Row],[Age]]&gt;=18,HR_Data[[#This Row],[Age]]&lt;=25),"18-25",AND(HR_Data[[#This Row],[Age]]&gt;=26,HR_Data[[#This Row],[Age]]&lt;=35),"26-35",AND(HR_Data[[#This Row],[Age]]&gt;=36,HR_Data[[#This Row],[Age]]&lt;=45),"36-45",HR_Data[[#This Row],[Age]]&gt;45,"45+")</f>
        <v>26-35</v>
      </c>
      <c r="AL8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21" spans="1:38"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f>IF(HR_Data[[#This Row],[Attrition]]="Yes",1,0)</f>
        <v>0</v>
      </c>
      <c r="AK821" t="str">
        <f>_xlfn.IFS(AND(HR_Data[[#This Row],[Age]]&gt;=18,HR_Data[[#This Row],[Age]]&lt;=25),"18-25",AND(HR_Data[[#This Row],[Age]]&gt;=26,HR_Data[[#This Row],[Age]]&lt;=35),"26-35",AND(HR_Data[[#This Row],[Age]]&gt;=36,HR_Data[[#This Row],[Age]]&lt;=45),"36-45",HR_Data[[#This Row],[Age]]&gt;45,"45+")</f>
        <v>26-35</v>
      </c>
      <c r="AL8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22" spans="1:38"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f>IF(HR_Data[[#This Row],[Attrition]]="Yes",1,0)</f>
        <v>0</v>
      </c>
      <c r="AK822" t="str">
        <f>_xlfn.IFS(AND(HR_Data[[#This Row],[Age]]&gt;=18,HR_Data[[#This Row],[Age]]&lt;=25),"18-25",AND(HR_Data[[#This Row],[Age]]&gt;=26,HR_Data[[#This Row],[Age]]&lt;=35),"26-35",AND(HR_Data[[#This Row],[Age]]&gt;=36,HR_Data[[#This Row],[Age]]&lt;=45),"36-45",HR_Data[[#This Row],[Age]]&gt;45,"45+")</f>
        <v>26-35</v>
      </c>
      <c r="AL8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23" spans="1:38"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f>IF(HR_Data[[#This Row],[Attrition]]="Yes",1,0)</f>
        <v>0</v>
      </c>
      <c r="AK823" t="str">
        <f>_xlfn.IFS(AND(HR_Data[[#This Row],[Age]]&gt;=18,HR_Data[[#This Row],[Age]]&lt;=25),"18-25",AND(HR_Data[[#This Row],[Age]]&gt;=26,HR_Data[[#This Row],[Age]]&lt;=35),"26-35",AND(HR_Data[[#This Row],[Age]]&gt;=36,HR_Data[[#This Row],[Age]]&lt;=45),"36-45",HR_Data[[#This Row],[Age]]&gt;45,"45+")</f>
        <v>45+</v>
      </c>
      <c r="AL8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24" spans="1:38"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f>IF(HR_Data[[#This Row],[Attrition]]="Yes",1,0)</f>
        <v>0</v>
      </c>
      <c r="AK824" t="str">
        <f>_xlfn.IFS(AND(HR_Data[[#This Row],[Age]]&gt;=18,HR_Data[[#This Row],[Age]]&lt;=25),"18-25",AND(HR_Data[[#This Row],[Age]]&gt;=26,HR_Data[[#This Row],[Age]]&lt;=35),"26-35",AND(HR_Data[[#This Row],[Age]]&gt;=36,HR_Data[[#This Row],[Age]]&lt;=45),"36-45",HR_Data[[#This Row],[Age]]&gt;45,"45+")</f>
        <v>26-35</v>
      </c>
      <c r="AL8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25" spans="1:38"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f>IF(HR_Data[[#This Row],[Attrition]]="Yes",1,0)</f>
        <v>0</v>
      </c>
      <c r="AK825" t="str">
        <f>_xlfn.IFS(AND(HR_Data[[#This Row],[Age]]&gt;=18,HR_Data[[#This Row],[Age]]&lt;=25),"18-25",AND(HR_Data[[#This Row],[Age]]&gt;=26,HR_Data[[#This Row],[Age]]&lt;=35),"26-35",AND(HR_Data[[#This Row],[Age]]&gt;=36,HR_Data[[#This Row],[Age]]&lt;=45),"36-45",HR_Data[[#This Row],[Age]]&gt;45,"45+")</f>
        <v>26-35</v>
      </c>
      <c r="AL8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26" spans="1:38"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f>IF(HR_Data[[#This Row],[Attrition]]="Yes",1,0)</f>
        <v>0</v>
      </c>
      <c r="AK826" t="str">
        <f>_xlfn.IFS(AND(HR_Data[[#This Row],[Age]]&gt;=18,HR_Data[[#This Row],[Age]]&lt;=25),"18-25",AND(HR_Data[[#This Row],[Age]]&gt;=26,HR_Data[[#This Row],[Age]]&lt;=35),"26-35",AND(HR_Data[[#This Row],[Age]]&gt;=36,HR_Data[[#This Row],[Age]]&lt;=45),"36-45",HR_Data[[#This Row],[Age]]&gt;45,"45+")</f>
        <v>36-45</v>
      </c>
      <c r="AL8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27" spans="1:38"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f>IF(HR_Data[[#This Row],[Attrition]]="Yes",1,0)</f>
        <v>0</v>
      </c>
      <c r="AK827" t="str">
        <f>_xlfn.IFS(AND(HR_Data[[#This Row],[Age]]&gt;=18,HR_Data[[#This Row],[Age]]&lt;=25),"18-25",AND(HR_Data[[#This Row],[Age]]&gt;=26,HR_Data[[#This Row],[Age]]&lt;=35),"26-35",AND(HR_Data[[#This Row],[Age]]&gt;=36,HR_Data[[#This Row],[Age]]&lt;=45),"36-45",HR_Data[[#This Row],[Age]]&gt;45,"45+")</f>
        <v>26-35</v>
      </c>
      <c r="AL8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28" spans="1:38"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f>IF(HR_Data[[#This Row],[Attrition]]="Yes",1,0)</f>
        <v>0</v>
      </c>
      <c r="AK828" t="str">
        <f>_xlfn.IFS(AND(HR_Data[[#This Row],[Age]]&gt;=18,HR_Data[[#This Row],[Age]]&lt;=25),"18-25",AND(HR_Data[[#This Row],[Age]]&gt;=26,HR_Data[[#This Row],[Age]]&lt;=35),"26-35",AND(HR_Data[[#This Row],[Age]]&gt;=36,HR_Data[[#This Row],[Age]]&lt;=45),"36-45",HR_Data[[#This Row],[Age]]&gt;45,"45+")</f>
        <v>36-45</v>
      </c>
      <c r="AL8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29" spans="1:38"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f>IF(HR_Data[[#This Row],[Attrition]]="Yes",1,0)</f>
        <v>0</v>
      </c>
      <c r="AK829" t="str">
        <f>_xlfn.IFS(AND(HR_Data[[#This Row],[Age]]&gt;=18,HR_Data[[#This Row],[Age]]&lt;=25),"18-25",AND(HR_Data[[#This Row],[Age]]&gt;=26,HR_Data[[#This Row],[Age]]&lt;=35),"26-35",AND(HR_Data[[#This Row],[Age]]&gt;=36,HR_Data[[#This Row],[Age]]&lt;=45),"36-45",HR_Data[[#This Row],[Age]]&gt;45,"45+")</f>
        <v>26-35</v>
      </c>
      <c r="AL8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30" spans="1:38"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f>IF(HR_Data[[#This Row],[Attrition]]="Yes",1,0)</f>
        <v>1</v>
      </c>
      <c r="AK830" t="str">
        <f>_xlfn.IFS(AND(HR_Data[[#This Row],[Age]]&gt;=18,HR_Data[[#This Row],[Age]]&lt;=25),"18-25",AND(HR_Data[[#This Row],[Age]]&gt;=26,HR_Data[[#This Row],[Age]]&lt;=35),"26-35",AND(HR_Data[[#This Row],[Age]]&gt;=36,HR_Data[[#This Row],[Age]]&lt;=45),"36-45",HR_Data[[#This Row],[Age]]&gt;45,"45+")</f>
        <v>18-25</v>
      </c>
      <c r="AL8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31" spans="1:38"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f>IF(HR_Data[[#This Row],[Attrition]]="Yes",1,0)</f>
        <v>1</v>
      </c>
      <c r="AK831" t="str">
        <f>_xlfn.IFS(AND(HR_Data[[#This Row],[Age]]&gt;=18,HR_Data[[#This Row],[Age]]&lt;=25),"18-25",AND(HR_Data[[#This Row],[Age]]&gt;=26,HR_Data[[#This Row],[Age]]&lt;=35),"26-35",AND(HR_Data[[#This Row],[Age]]&gt;=36,HR_Data[[#This Row],[Age]]&lt;=45),"36-45",HR_Data[[#This Row],[Age]]&gt;45,"45+")</f>
        <v>26-35</v>
      </c>
      <c r="AL8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32" spans="1:38"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f>IF(HR_Data[[#This Row],[Attrition]]="Yes",1,0)</f>
        <v>0</v>
      </c>
      <c r="AK832" t="str">
        <f>_xlfn.IFS(AND(HR_Data[[#This Row],[Age]]&gt;=18,HR_Data[[#This Row],[Age]]&lt;=25),"18-25",AND(HR_Data[[#This Row],[Age]]&gt;=26,HR_Data[[#This Row],[Age]]&lt;=35),"26-35",AND(HR_Data[[#This Row],[Age]]&gt;=36,HR_Data[[#This Row],[Age]]&lt;=45),"36-45",HR_Data[[#This Row],[Age]]&gt;45,"45+")</f>
        <v>36-45</v>
      </c>
      <c r="AL8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33" spans="1:38"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f>IF(HR_Data[[#This Row],[Attrition]]="Yes",1,0)</f>
        <v>1</v>
      </c>
      <c r="AK833" t="str">
        <f>_xlfn.IFS(AND(HR_Data[[#This Row],[Age]]&gt;=18,HR_Data[[#This Row],[Age]]&lt;=25),"18-25",AND(HR_Data[[#This Row],[Age]]&gt;=26,HR_Data[[#This Row],[Age]]&lt;=35),"26-35",AND(HR_Data[[#This Row],[Age]]&gt;=36,HR_Data[[#This Row],[Age]]&lt;=45),"36-45",HR_Data[[#This Row],[Age]]&gt;45,"45+")</f>
        <v>26-35</v>
      </c>
      <c r="AL8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34" spans="1:38"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f>IF(HR_Data[[#This Row],[Attrition]]="Yes",1,0)</f>
        <v>0</v>
      </c>
      <c r="AK834" t="str">
        <f>_xlfn.IFS(AND(HR_Data[[#This Row],[Age]]&gt;=18,HR_Data[[#This Row],[Age]]&lt;=25),"18-25",AND(HR_Data[[#This Row],[Age]]&gt;=26,HR_Data[[#This Row],[Age]]&lt;=35),"26-35",AND(HR_Data[[#This Row],[Age]]&gt;=36,HR_Data[[#This Row],[Age]]&lt;=45),"36-45",HR_Data[[#This Row],[Age]]&gt;45,"45+")</f>
        <v>36-45</v>
      </c>
      <c r="AL8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35" spans="1:38"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f>IF(HR_Data[[#This Row],[Attrition]]="Yes",1,0)</f>
        <v>0</v>
      </c>
      <c r="AK835" t="str">
        <f>_xlfn.IFS(AND(HR_Data[[#This Row],[Age]]&gt;=18,HR_Data[[#This Row],[Age]]&lt;=25),"18-25",AND(HR_Data[[#This Row],[Age]]&gt;=26,HR_Data[[#This Row],[Age]]&lt;=35),"26-35",AND(HR_Data[[#This Row],[Age]]&gt;=36,HR_Data[[#This Row],[Age]]&lt;=45),"36-45",HR_Data[[#This Row],[Age]]&gt;45,"45+")</f>
        <v>26-35</v>
      </c>
      <c r="AL8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36" spans="1:38"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f>IF(HR_Data[[#This Row],[Attrition]]="Yes",1,0)</f>
        <v>0</v>
      </c>
      <c r="AK836" t="str">
        <f>_xlfn.IFS(AND(HR_Data[[#This Row],[Age]]&gt;=18,HR_Data[[#This Row],[Age]]&lt;=25),"18-25",AND(HR_Data[[#This Row],[Age]]&gt;=26,HR_Data[[#This Row],[Age]]&lt;=35),"26-35",AND(HR_Data[[#This Row],[Age]]&gt;=36,HR_Data[[#This Row],[Age]]&lt;=45),"36-45",HR_Data[[#This Row],[Age]]&gt;45,"45+")</f>
        <v>26-35</v>
      </c>
      <c r="AL8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37" spans="1:38"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f>IF(HR_Data[[#This Row],[Attrition]]="Yes",1,0)</f>
        <v>0</v>
      </c>
      <c r="AK837" t="str">
        <f>_xlfn.IFS(AND(HR_Data[[#This Row],[Age]]&gt;=18,HR_Data[[#This Row],[Age]]&lt;=25),"18-25",AND(HR_Data[[#This Row],[Age]]&gt;=26,HR_Data[[#This Row],[Age]]&lt;=35),"26-35",AND(HR_Data[[#This Row],[Age]]&gt;=36,HR_Data[[#This Row],[Age]]&lt;=45),"36-45",HR_Data[[#This Row],[Age]]&gt;45,"45+")</f>
        <v>26-35</v>
      </c>
      <c r="AL8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38" spans="1:38"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f>IF(HR_Data[[#This Row],[Attrition]]="Yes",1,0)</f>
        <v>1</v>
      </c>
      <c r="AK838" t="str">
        <f>_xlfn.IFS(AND(HR_Data[[#This Row],[Age]]&gt;=18,HR_Data[[#This Row],[Age]]&lt;=25),"18-25",AND(HR_Data[[#This Row],[Age]]&gt;=26,HR_Data[[#This Row],[Age]]&lt;=35),"26-35",AND(HR_Data[[#This Row],[Age]]&gt;=36,HR_Data[[#This Row],[Age]]&lt;=45),"36-45",HR_Data[[#This Row],[Age]]&gt;45,"45+")</f>
        <v>26-35</v>
      </c>
      <c r="AL8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39" spans="1:38"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f>IF(HR_Data[[#This Row],[Attrition]]="Yes",1,0)</f>
        <v>0</v>
      </c>
      <c r="AK839" t="str">
        <f>_xlfn.IFS(AND(HR_Data[[#This Row],[Age]]&gt;=18,HR_Data[[#This Row],[Age]]&lt;=25),"18-25",AND(HR_Data[[#This Row],[Age]]&gt;=26,HR_Data[[#This Row],[Age]]&lt;=35),"26-35",AND(HR_Data[[#This Row],[Age]]&gt;=36,HR_Data[[#This Row],[Age]]&lt;=45),"36-45",HR_Data[[#This Row],[Age]]&gt;45,"45+")</f>
        <v>36-45</v>
      </c>
      <c r="AL8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40" spans="1:38"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f>IF(HR_Data[[#This Row],[Attrition]]="Yes",1,0)</f>
        <v>1</v>
      </c>
      <c r="AK840" t="str">
        <f>_xlfn.IFS(AND(HR_Data[[#This Row],[Age]]&gt;=18,HR_Data[[#This Row],[Age]]&lt;=25),"18-25",AND(HR_Data[[#This Row],[Age]]&gt;=26,HR_Data[[#This Row],[Age]]&lt;=35),"26-35",AND(HR_Data[[#This Row],[Age]]&gt;=36,HR_Data[[#This Row],[Age]]&lt;=45),"36-45",HR_Data[[#This Row],[Age]]&gt;45,"45+")</f>
        <v>36-45</v>
      </c>
      <c r="AL8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41" spans="1:38"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f>IF(HR_Data[[#This Row],[Attrition]]="Yes",1,0)</f>
        <v>0</v>
      </c>
      <c r="AK841" t="str">
        <f>_xlfn.IFS(AND(HR_Data[[#This Row],[Age]]&gt;=18,HR_Data[[#This Row],[Age]]&lt;=25),"18-25",AND(HR_Data[[#This Row],[Age]]&gt;=26,HR_Data[[#This Row],[Age]]&lt;=35),"26-35",AND(HR_Data[[#This Row],[Age]]&gt;=36,HR_Data[[#This Row],[Age]]&lt;=45),"36-45",HR_Data[[#This Row],[Age]]&gt;45,"45+")</f>
        <v>36-45</v>
      </c>
      <c r="AL8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42" spans="1:38"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f>IF(HR_Data[[#This Row],[Attrition]]="Yes",1,0)</f>
        <v>0</v>
      </c>
      <c r="AK842" t="str">
        <f>_xlfn.IFS(AND(HR_Data[[#This Row],[Age]]&gt;=18,HR_Data[[#This Row],[Age]]&lt;=25),"18-25",AND(HR_Data[[#This Row],[Age]]&gt;=26,HR_Data[[#This Row],[Age]]&lt;=35),"26-35",AND(HR_Data[[#This Row],[Age]]&gt;=36,HR_Data[[#This Row],[Age]]&lt;=45),"36-45",HR_Data[[#This Row],[Age]]&gt;45,"45+")</f>
        <v>26-35</v>
      </c>
      <c r="AL8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43" spans="1:38"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f>IF(HR_Data[[#This Row],[Attrition]]="Yes",1,0)</f>
        <v>0</v>
      </c>
      <c r="AK843" t="str">
        <f>_xlfn.IFS(AND(HR_Data[[#This Row],[Age]]&gt;=18,HR_Data[[#This Row],[Age]]&lt;=25),"18-25",AND(HR_Data[[#This Row],[Age]]&gt;=26,HR_Data[[#This Row],[Age]]&lt;=35),"26-35",AND(HR_Data[[#This Row],[Age]]&gt;=36,HR_Data[[#This Row],[Age]]&lt;=45),"36-45",HR_Data[[#This Row],[Age]]&gt;45,"45+")</f>
        <v>18-25</v>
      </c>
      <c r="AL8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44" spans="1:38"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f>IF(HR_Data[[#This Row],[Attrition]]="Yes",1,0)</f>
        <v>1</v>
      </c>
      <c r="AK844" t="str">
        <f>_xlfn.IFS(AND(HR_Data[[#This Row],[Age]]&gt;=18,HR_Data[[#This Row],[Age]]&lt;=25),"18-25",AND(HR_Data[[#This Row],[Age]]&gt;=26,HR_Data[[#This Row],[Age]]&lt;=35),"26-35",AND(HR_Data[[#This Row],[Age]]&gt;=36,HR_Data[[#This Row],[Age]]&lt;=45),"36-45",HR_Data[[#This Row],[Age]]&gt;45,"45+")</f>
        <v>26-35</v>
      </c>
      <c r="AL8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45" spans="1:38"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f>IF(HR_Data[[#This Row],[Attrition]]="Yes",1,0)</f>
        <v>0</v>
      </c>
      <c r="AK845" t="str">
        <f>_xlfn.IFS(AND(HR_Data[[#This Row],[Age]]&gt;=18,HR_Data[[#This Row],[Age]]&lt;=25),"18-25",AND(HR_Data[[#This Row],[Age]]&gt;=26,HR_Data[[#This Row],[Age]]&lt;=35),"26-35",AND(HR_Data[[#This Row],[Age]]&gt;=36,HR_Data[[#This Row],[Age]]&lt;=45),"36-45",HR_Data[[#This Row],[Age]]&gt;45,"45+")</f>
        <v>26-35</v>
      </c>
      <c r="AL8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46" spans="1:38"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f>IF(HR_Data[[#This Row],[Attrition]]="Yes",1,0)</f>
        <v>0</v>
      </c>
      <c r="AK846" t="str">
        <f>_xlfn.IFS(AND(HR_Data[[#This Row],[Age]]&gt;=18,HR_Data[[#This Row],[Age]]&lt;=25),"18-25",AND(HR_Data[[#This Row],[Age]]&gt;=26,HR_Data[[#This Row],[Age]]&lt;=35),"26-35",AND(HR_Data[[#This Row],[Age]]&gt;=36,HR_Data[[#This Row],[Age]]&lt;=45),"36-45",HR_Data[[#This Row],[Age]]&gt;45,"45+")</f>
        <v>26-35</v>
      </c>
      <c r="AL8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47" spans="1:38"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f>IF(HR_Data[[#This Row],[Attrition]]="Yes",1,0)</f>
        <v>0</v>
      </c>
      <c r="AK847" t="str">
        <f>_xlfn.IFS(AND(HR_Data[[#This Row],[Age]]&gt;=18,HR_Data[[#This Row],[Age]]&lt;=25),"18-25",AND(HR_Data[[#This Row],[Age]]&gt;=26,HR_Data[[#This Row],[Age]]&lt;=35),"26-35",AND(HR_Data[[#This Row],[Age]]&gt;=36,HR_Data[[#This Row],[Age]]&lt;=45),"36-45",HR_Data[[#This Row],[Age]]&gt;45,"45+")</f>
        <v>36-45</v>
      </c>
      <c r="AL8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48" spans="1:38"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f>IF(HR_Data[[#This Row],[Attrition]]="Yes",1,0)</f>
        <v>0</v>
      </c>
      <c r="AK848" t="str">
        <f>_xlfn.IFS(AND(HR_Data[[#This Row],[Age]]&gt;=18,HR_Data[[#This Row],[Age]]&lt;=25),"18-25",AND(HR_Data[[#This Row],[Age]]&gt;=26,HR_Data[[#This Row],[Age]]&lt;=35),"26-35",AND(HR_Data[[#This Row],[Age]]&gt;=36,HR_Data[[#This Row],[Age]]&lt;=45),"36-45",HR_Data[[#This Row],[Age]]&gt;45,"45+")</f>
        <v>26-35</v>
      </c>
      <c r="AL8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49" spans="1:38"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f>IF(HR_Data[[#This Row],[Attrition]]="Yes",1,0)</f>
        <v>0</v>
      </c>
      <c r="AK849" t="str">
        <f>_xlfn.IFS(AND(HR_Data[[#This Row],[Age]]&gt;=18,HR_Data[[#This Row],[Age]]&lt;=25),"18-25",AND(HR_Data[[#This Row],[Age]]&gt;=26,HR_Data[[#This Row],[Age]]&lt;=35),"26-35",AND(HR_Data[[#This Row],[Age]]&gt;=36,HR_Data[[#This Row],[Age]]&lt;=45),"36-45",HR_Data[[#This Row],[Age]]&gt;45,"45+")</f>
        <v>26-35</v>
      </c>
      <c r="AL8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50" spans="1:38"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f>IF(HR_Data[[#This Row],[Attrition]]="Yes",1,0)</f>
        <v>0</v>
      </c>
      <c r="AK850" t="str">
        <f>_xlfn.IFS(AND(HR_Data[[#This Row],[Age]]&gt;=18,HR_Data[[#This Row],[Age]]&lt;=25),"18-25",AND(HR_Data[[#This Row],[Age]]&gt;=26,HR_Data[[#This Row],[Age]]&lt;=35),"26-35",AND(HR_Data[[#This Row],[Age]]&gt;=36,HR_Data[[#This Row],[Age]]&lt;=45),"36-45",HR_Data[[#This Row],[Age]]&gt;45,"45+")</f>
        <v>26-35</v>
      </c>
      <c r="AL8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51" spans="1:38"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f>IF(HR_Data[[#This Row],[Attrition]]="Yes",1,0)</f>
        <v>1</v>
      </c>
      <c r="AK851" t="str">
        <f>_xlfn.IFS(AND(HR_Data[[#This Row],[Age]]&gt;=18,HR_Data[[#This Row],[Age]]&lt;=25),"18-25",AND(HR_Data[[#This Row],[Age]]&gt;=26,HR_Data[[#This Row],[Age]]&lt;=35),"26-35",AND(HR_Data[[#This Row],[Age]]&gt;=36,HR_Data[[#This Row],[Age]]&lt;=45),"36-45",HR_Data[[#This Row],[Age]]&gt;45,"45+")</f>
        <v>36-45</v>
      </c>
      <c r="AL8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52" spans="1:38"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f>IF(HR_Data[[#This Row],[Attrition]]="Yes",1,0)</f>
        <v>0</v>
      </c>
      <c r="AK852" t="str">
        <f>_xlfn.IFS(AND(HR_Data[[#This Row],[Age]]&gt;=18,HR_Data[[#This Row],[Age]]&lt;=25),"18-25",AND(HR_Data[[#This Row],[Age]]&gt;=26,HR_Data[[#This Row],[Age]]&lt;=35),"26-35",AND(HR_Data[[#This Row],[Age]]&gt;=36,HR_Data[[#This Row],[Age]]&lt;=45),"36-45",HR_Data[[#This Row],[Age]]&gt;45,"45+")</f>
        <v>26-35</v>
      </c>
      <c r="AL8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53" spans="1:38"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f>IF(HR_Data[[#This Row],[Attrition]]="Yes",1,0)</f>
        <v>0</v>
      </c>
      <c r="AK853" t="str">
        <f>_xlfn.IFS(AND(HR_Data[[#This Row],[Age]]&gt;=18,HR_Data[[#This Row],[Age]]&lt;=25),"18-25",AND(HR_Data[[#This Row],[Age]]&gt;=26,HR_Data[[#This Row],[Age]]&lt;=35),"26-35",AND(HR_Data[[#This Row],[Age]]&gt;=36,HR_Data[[#This Row],[Age]]&lt;=45),"36-45",HR_Data[[#This Row],[Age]]&gt;45,"45+")</f>
        <v>45+</v>
      </c>
      <c r="AL8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54" spans="1:38"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f>IF(HR_Data[[#This Row],[Attrition]]="Yes",1,0)</f>
        <v>0</v>
      </c>
      <c r="AK854" t="str">
        <f>_xlfn.IFS(AND(HR_Data[[#This Row],[Age]]&gt;=18,HR_Data[[#This Row],[Age]]&lt;=25),"18-25",AND(HR_Data[[#This Row],[Age]]&gt;=26,HR_Data[[#This Row],[Age]]&lt;=35),"26-35",AND(HR_Data[[#This Row],[Age]]&gt;=36,HR_Data[[#This Row],[Age]]&lt;=45),"36-45",HR_Data[[#This Row],[Age]]&gt;45,"45+")</f>
        <v>26-35</v>
      </c>
      <c r="AL8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55" spans="1:38"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f>IF(HR_Data[[#This Row],[Attrition]]="Yes",1,0)</f>
        <v>0</v>
      </c>
      <c r="AK855" t="str">
        <f>_xlfn.IFS(AND(HR_Data[[#This Row],[Age]]&gt;=18,HR_Data[[#This Row],[Age]]&lt;=25),"18-25",AND(HR_Data[[#This Row],[Age]]&gt;=26,HR_Data[[#This Row],[Age]]&lt;=35),"26-35",AND(HR_Data[[#This Row],[Age]]&gt;=36,HR_Data[[#This Row],[Age]]&lt;=45),"36-45",HR_Data[[#This Row],[Age]]&gt;45,"45+")</f>
        <v>18-25</v>
      </c>
      <c r="AL8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56" spans="1:38"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f>IF(HR_Data[[#This Row],[Attrition]]="Yes",1,0)</f>
        <v>0</v>
      </c>
      <c r="AK856" t="str">
        <f>_xlfn.IFS(AND(HR_Data[[#This Row],[Age]]&gt;=18,HR_Data[[#This Row],[Age]]&lt;=25),"18-25",AND(HR_Data[[#This Row],[Age]]&gt;=26,HR_Data[[#This Row],[Age]]&lt;=35),"26-35",AND(HR_Data[[#This Row],[Age]]&gt;=36,HR_Data[[#This Row],[Age]]&lt;=45),"36-45",HR_Data[[#This Row],[Age]]&gt;45,"45+")</f>
        <v>36-45</v>
      </c>
      <c r="AL8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57" spans="1:38"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f>IF(HR_Data[[#This Row],[Attrition]]="Yes",1,0)</f>
        <v>0</v>
      </c>
      <c r="AK857" t="str">
        <f>_xlfn.IFS(AND(HR_Data[[#This Row],[Age]]&gt;=18,HR_Data[[#This Row],[Age]]&lt;=25),"18-25",AND(HR_Data[[#This Row],[Age]]&gt;=26,HR_Data[[#This Row],[Age]]&lt;=35),"26-35",AND(HR_Data[[#This Row],[Age]]&gt;=36,HR_Data[[#This Row],[Age]]&lt;=45),"36-45",HR_Data[[#This Row],[Age]]&gt;45,"45+")</f>
        <v>36-45</v>
      </c>
      <c r="AL8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58" spans="1:38"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f>IF(HR_Data[[#This Row],[Attrition]]="Yes",1,0)</f>
        <v>0</v>
      </c>
      <c r="AK858" t="str">
        <f>_xlfn.IFS(AND(HR_Data[[#This Row],[Age]]&gt;=18,HR_Data[[#This Row],[Age]]&lt;=25),"18-25",AND(HR_Data[[#This Row],[Age]]&gt;=26,HR_Data[[#This Row],[Age]]&lt;=35),"26-35",AND(HR_Data[[#This Row],[Age]]&gt;=36,HR_Data[[#This Row],[Age]]&lt;=45),"36-45",HR_Data[[#This Row],[Age]]&gt;45,"45+")</f>
        <v>18-25</v>
      </c>
      <c r="AL8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59" spans="1:38"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f>IF(HR_Data[[#This Row],[Attrition]]="Yes",1,0)</f>
        <v>1</v>
      </c>
      <c r="AK859" t="str">
        <f>_xlfn.IFS(AND(HR_Data[[#This Row],[Age]]&gt;=18,HR_Data[[#This Row],[Age]]&lt;=25),"18-25",AND(HR_Data[[#This Row],[Age]]&gt;=26,HR_Data[[#This Row],[Age]]&lt;=35),"26-35",AND(HR_Data[[#This Row],[Age]]&gt;=36,HR_Data[[#This Row],[Age]]&lt;=45),"36-45",HR_Data[[#This Row],[Age]]&gt;45,"45+")</f>
        <v>36-45</v>
      </c>
      <c r="AL8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60" spans="1:38"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f>IF(HR_Data[[#This Row],[Attrition]]="Yes",1,0)</f>
        <v>0</v>
      </c>
      <c r="AK860" t="str">
        <f>_xlfn.IFS(AND(HR_Data[[#This Row],[Age]]&gt;=18,HR_Data[[#This Row],[Age]]&lt;=25),"18-25",AND(HR_Data[[#This Row],[Age]]&gt;=26,HR_Data[[#This Row],[Age]]&lt;=35),"26-35",AND(HR_Data[[#This Row],[Age]]&gt;=36,HR_Data[[#This Row],[Age]]&lt;=45),"36-45",HR_Data[[#This Row],[Age]]&gt;45,"45+")</f>
        <v>45+</v>
      </c>
      <c r="AL8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61" spans="1:38"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f>IF(HR_Data[[#This Row],[Attrition]]="Yes",1,0)</f>
        <v>0</v>
      </c>
      <c r="AK861" t="str">
        <f>_xlfn.IFS(AND(HR_Data[[#This Row],[Age]]&gt;=18,HR_Data[[#This Row],[Age]]&lt;=25),"18-25",AND(HR_Data[[#This Row],[Age]]&gt;=26,HR_Data[[#This Row],[Age]]&lt;=35),"26-35",AND(HR_Data[[#This Row],[Age]]&gt;=36,HR_Data[[#This Row],[Age]]&lt;=45),"36-45",HR_Data[[#This Row],[Age]]&gt;45,"45+")</f>
        <v>26-35</v>
      </c>
      <c r="AL8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62" spans="1:38"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f>IF(HR_Data[[#This Row],[Attrition]]="Yes",1,0)</f>
        <v>1</v>
      </c>
      <c r="AK862" t="str">
        <f>_xlfn.IFS(AND(HR_Data[[#This Row],[Age]]&gt;=18,HR_Data[[#This Row],[Age]]&lt;=25),"18-25",AND(HR_Data[[#This Row],[Age]]&gt;=26,HR_Data[[#This Row],[Age]]&lt;=35),"26-35",AND(HR_Data[[#This Row],[Age]]&gt;=36,HR_Data[[#This Row],[Age]]&lt;=45),"36-45",HR_Data[[#This Row],[Age]]&gt;45,"45+")</f>
        <v>18-25</v>
      </c>
      <c r="AL8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63" spans="1:38"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f>IF(HR_Data[[#This Row],[Attrition]]="Yes",1,0)</f>
        <v>0</v>
      </c>
      <c r="AK863" t="str">
        <f>_xlfn.IFS(AND(HR_Data[[#This Row],[Age]]&gt;=18,HR_Data[[#This Row],[Age]]&lt;=25),"18-25",AND(HR_Data[[#This Row],[Age]]&gt;=26,HR_Data[[#This Row],[Age]]&lt;=35),"26-35",AND(HR_Data[[#This Row],[Age]]&gt;=36,HR_Data[[#This Row],[Age]]&lt;=45),"36-45",HR_Data[[#This Row],[Age]]&gt;45,"45+")</f>
        <v>45+</v>
      </c>
      <c r="AL8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64" spans="1:38"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f>IF(HR_Data[[#This Row],[Attrition]]="Yes",1,0)</f>
        <v>0</v>
      </c>
      <c r="AK864" t="str">
        <f>_xlfn.IFS(AND(HR_Data[[#This Row],[Age]]&gt;=18,HR_Data[[#This Row],[Age]]&lt;=25),"18-25",AND(HR_Data[[#This Row],[Age]]&gt;=26,HR_Data[[#This Row],[Age]]&lt;=35),"26-35",AND(HR_Data[[#This Row],[Age]]&gt;=36,HR_Data[[#This Row],[Age]]&lt;=45),"36-45",HR_Data[[#This Row],[Age]]&gt;45,"45+")</f>
        <v>36-45</v>
      </c>
      <c r="AL8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65" spans="1:38"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f>IF(HR_Data[[#This Row],[Attrition]]="Yes",1,0)</f>
        <v>0</v>
      </c>
      <c r="AK865" t="str">
        <f>_xlfn.IFS(AND(HR_Data[[#This Row],[Age]]&gt;=18,HR_Data[[#This Row],[Age]]&lt;=25),"18-25",AND(HR_Data[[#This Row],[Age]]&gt;=26,HR_Data[[#This Row],[Age]]&lt;=35),"26-35",AND(HR_Data[[#This Row],[Age]]&gt;=36,HR_Data[[#This Row],[Age]]&lt;=45),"36-45",HR_Data[[#This Row],[Age]]&gt;45,"45+")</f>
        <v>26-35</v>
      </c>
      <c r="AL8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66" spans="1:38"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f>IF(HR_Data[[#This Row],[Attrition]]="Yes",1,0)</f>
        <v>1</v>
      </c>
      <c r="AK866" t="str">
        <f>_xlfn.IFS(AND(HR_Data[[#This Row],[Age]]&gt;=18,HR_Data[[#This Row],[Age]]&lt;=25),"18-25",AND(HR_Data[[#This Row],[Age]]&gt;=26,HR_Data[[#This Row],[Age]]&lt;=35),"26-35",AND(HR_Data[[#This Row],[Age]]&gt;=36,HR_Data[[#This Row],[Age]]&lt;=45),"36-45",HR_Data[[#This Row],[Age]]&gt;45,"45+")</f>
        <v>36-45</v>
      </c>
      <c r="AL8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67" spans="1:38"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f>IF(HR_Data[[#This Row],[Attrition]]="Yes",1,0)</f>
        <v>0</v>
      </c>
      <c r="AK867" t="str">
        <f>_xlfn.IFS(AND(HR_Data[[#This Row],[Age]]&gt;=18,HR_Data[[#This Row],[Age]]&lt;=25),"18-25",AND(HR_Data[[#This Row],[Age]]&gt;=26,HR_Data[[#This Row],[Age]]&lt;=35),"26-35",AND(HR_Data[[#This Row],[Age]]&gt;=36,HR_Data[[#This Row],[Age]]&lt;=45),"36-45",HR_Data[[#This Row],[Age]]&gt;45,"45+")</f>
        <v>26-35</v>
      </c>
      <c r="AL8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68" spans="1:38"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f>IF(HR_Data[[#This Row],[Attrition]]="Yes",1,0)</f>
        <v>0</v>
      </c>
      <c r="AK868" t="str">
        <f>_xlfn.IFS(AND(HR_Data[[#This Row],[Age]]&gt;=18,HR_Data[[#This Row],[Age]]&lt;=25),"18-25",AND(HR_Data[[#This Row],[Age]]&gt;=26,HR_Data[[#This Row],[Age]]&lt;=35),"26-35",AND(HR_Data[[#This Row],[Age]]&gt;=36,HR_Data[[#This Row],[Age]]&lt;=45),"36-45",HR_Data[[#This Row],[Age]]&gt;45,"45+")</f>
        <v>36-45</v>
      </c>
      <c r="AL8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69" spans="1:38"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f>IF(HR_Data[[#This Row],[Attrition]]="Yes",1,0)</f>
        <v>0</v>
      </c>
      <c r="AK869" t="str">
        <f>_xlfn.IFS(AND(HR_Data[[#This Row],[Age]]&gt;=18,HR_Data[[#This Row],[Age]]&lt;=25),"18-25",AND(HR_Data[[#This Row],[Age]]&gt;=26,HR_Data[[#This Row],[Age]]&lt;=35),"26-35",AND(HR_Data[[#This Row],[Age]]&gt;=36,HR_Data[[#This Row],[Age]]&lt;=45),"36-45",HR_Data[[#This Row],[Age]]&gt;45,"45+")</f>
        <v>45+</v>
      </c>
      <c r="AL8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70" spans="1:38"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f>IF(HR_Data[[#This Row],[Attrition]]="Yes",1,0)</f>
        <v>0</v>
      </c>
      <c r="AK870" t="str">
        <f>_xlfn.IFS(AND(HR_Data[[#This Row],[Age]]&gt;=18,HR_Data[[#This Row],[Age]]&lt;=25),"18-25",AND(HR_Data[[#This Row],[Age]]&gt;=26,HR_Data[[#This Row],[Age]]&lt;=35),"26-35",AND(HR_Data[[#This Row],[Age]]&gt;=36,HR_Data[[#This Row],[Age]]&lt;=45),"36-45",HR_Data[[#This Row],[Age]]&gt;45,"45+")</f>
        <v>26-35</v>
      </c>
      <c r="AL8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71" spans="1:38"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f>IF(HR_Data[[#This Row],[Attrition]]="Yes",1,0)</f>
        <v>0</v>
      </c>
      <c r="AK871" t="str">
        <f>_xlfn.IFS(AND(HR_Data[[#This Row],[Age]]&gt;=18,HR_Data[[#This Row],[Age]]&lt;=25),"18-25",AND(HR_Data[[#This Row],[Age]]&gt;=26,HR_Data[[#This Row],[Age]]&lt;=35),"26-35",AND(HR_Data[[#This Row],[Age]]&gt;=36,HR_Data[[#This Row],[Age]]&lt;=45),"36-45",HR_Data[[#This Row],[Age]]&gt;45,"45+")</f>
        <v>45+</v>
      </c>
      <c r="AL8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72" spans="1:38"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f>IF(HR_Data[[#This Row],[Attrition]]="Yes",1,0)</f>
        <v>0</v>
      </c>
      <c r="AK872" t="str">
        <f>_xlfn.IFS(AND(HR_Data[[#This Row],[Age]]&gt;=18,HR_Data[[#This Row],[Age]]&lt;=25),"18-25",AND(HR_Data[[#This Row],[Age]]&gt;=26,HR_Data[[#This Row],[Age]]&lt;=35),"26-35",AND(HR_Data[[#This Row],[Age]]&gt;=36,HR_Data[[#This Row],[Age]]&lt;=45),"36-45",HR_Data[[#This Row],[Age]]&gt;45,"45+")</f>
        <v>26-35</v>
      </c>
      <c r="AL8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73" spans="1:38"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f>IF(HR_Data[[#This Row],[Attrition]]="Yes",1,0)</f>
        <v>1</v>
      </c>
      <c r="AK873" t="str">
        <f>_xlfn.IFS(AND(HR_Data[[#This Row],[Age]]&gt;=18,HR_Data[[#This Row],[Age]]&lt;=25),"18-25",AND(HR_Data[[#This Row],[Age]]&gt;=26,HR_Data[[#This Row],[Age]]&lt;=35),"26-35",AND(HR_Data[[#This Row],[Age]]&gt;=36,HR_Data[[#This Row],[Age]]&lt;=45),"36-45",HR_Data[[#This Row],[Age]]&gt;45,"45+")</f>
        <v>18-25</v>
      </c>
      <c r="AL8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74" spans="1:38"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f>IF(HR_Data[[#This Row],[Attrition]]="Yes",1,0)</f>
        <v>0</v>
      </c>
      <c r="AK874" t="str">
        <f>_xlfn.IFS(AND(HR_Data[[#This Row],[Age]]&gt;=18,HR_Data[[#This Row],[Age]]&lt;=25),"18-25",AND(HR_Data[[#This Row],[Age]]&gt;=26,HR_Data[[#This Row],[Age]]&lt;=35),"26-35",AND(HR_Data[[#This Row],[Age]]&gt;=36,HR_Data[[#This Row],[Age]]&lt;=45),"36-45",HR_Data[[#This Row],[Age]]&gt;45,"45+")</f>
        <v>26-35</v>
      </c>
      <c r="AL8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75" spans="1:38"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f>IF(HR_Data[[#This Row],[Attrition]]="Yes",1,0)</f>
        <v>0</v>
      </c>
      <c r="AK875" t="str">
        <f>_xlfn.IFS(AND(HR_Data[[#This Row],[Age]]&gt;=18,HR_Data[[#This Row],[Age]]&lt;=25),"18-25",AND(HR_Data[[#This Row],[Age]]&gt;=26,HR_Data[[#This Row],[Age]]&lt;=35),"26-35",AND(HR_Data[[#This Row],[Age]]&gt;=36,HR_Data[[#This Row],[Age]]&lt;=45),"36-45",HR_Data[[#This Row],[Age]]&gt;45,"45+")</f>
        <v>36-45</v>
      </c>
      <c r="AL8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76" spans="1:38"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f>IF(HR_Data[[#This Row],[Attrition]]="Yes",1,0)</f>
        <v>0</v>
      </c>
      <c r="AK876" t="str">
        <f>_xlfn.IFS(AND(HR_Data[[#This Row],[Age]]&gt;=18,HR_Data[[#This Row],[Age]]&lt;=25),"18-25",AND(HR_Data[[#This Row],[Age]]&gt;=26,HR_Data[[#This Row],[Age]]&lt;=35),"26-35",AND(HR_Data[[#This Row],[Age]]&gt;=36,HR_Data[[#This Row],[Age]]&lt;=45),"36-45",HR_Data[[#This Row],[Age]]&gt;45,"45+")</f>
        <v>26-35</v>
      </c>
      <c r="AL8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77" spans="1:38"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f>IF(HR_Data[[#This Row],[Attrition]]="Yes",1,0)</f>
        <v>0</v>
      </c>
      <c r="AK877" t="str">
        <f>_xlfn.IFS(AND(HR_Data[[#This Row],[Age]]&gt;=18,HR_Data[[#This Row],[Age]]&lt;=25),"18-25",AND(HR_Data[[#This Row],[Age]]&gt;=26,HR_Data[[#This Row],[Age]]&lt;=35),"26-35",AND(HR_Data[[#This Row],[Age]]&gt;=36,HR_Data[[#This Row],[Age]]&lt;=45),"36-45",HR_Data[[#This Row],[Age]]&gt;45,"45+")</f>
        <v>36-45</v>
      </c>
      <c r="AL8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78" spans="1:38"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f>IF(HR_Data[[#This Row],[Attrition]]="Yes",1,0)</f>
        <v>0</v>
      </c>
      <c r="AK878" t="str">
        <f>_xlfn.IFS(AND(HR_Data[[#This Row],[Age]]&gt;=18,HR_Data[[#This Row],[Age]]&lt;=25),"18-25",AND(HR_Data[[#This Row],[Age]]&gt;=26,HR_Data[[#This Row],[Age]]&lt;=35),"26-35",AND(HR_Data[[#This Row],[Age]]&gt;=36,HR_Data[[#This Row],[Age]]&lt;=45),"36-45",HR_Data[[#This Row],[Age]]&gt;45,"45+")</f>
        <v>18-25</v>
      </c>
      <c r="AL8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79" spans="1:38"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f>IF(HR_Data[[#This Row],[Attrition]]="Yes",1,0)</f>
        <v>0</v>
      </c>
      <c r="AK879" t="str">
        <f>_xlfn.IFS(AND(HR_Data[[#This Row],[Age]]&gt;=18,HR_Data[[#This Row],[Age]]&lt;=25),"18-25",AND(HR_Data[[#This Row],[Age]]&gt;=26,HR_Data[[#This Row],[Age]]&lt;=35),"26-35",AND(HR_Data[[#This Row],[Age]]&gt;=36,HR_Data[[#This Row],[Age]]&lt;=45),"36-45",HR_Data[[#This Row],[Age]]&gt;45,"45+")</f>
        <v>45+</v>
      </c>
      <c r="AL8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80" spans="1:38"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f>IF(HR_Data[[#This Row],[Attrition]]="Yes",1,0)</f>
        <v>0</v>
      </c>
      <c r="AK880" t="str">
        <f>_xlfn.IFS(AND(HR_Data[[#This Row],[Age]]&gt;=18,HR_Data[[#This Row],[Age]]&lt;=25),"18-25",AND(HR_Data[[#This Row],[Age]]&gt;=26,HR_Data[[#This Row],[Age]]&lt;=35),"26-35",AND(HR_Data[[#This Row],[Age]]&gt;=36,HR_Data[[#This Row],[Age]]&lt;=45),"36-45",HR_Data[[#This Row],[Age]]&gt;45,"45+")</f>
        <v>36-45</v>
      </c>
      <c r="AL8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81" spans="1:38"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f>IF(HR_Data[[#This Row],[Attrition]]="Yes",1,0)</f>
        <v>0</v>
      </c>
      <c r="AK881" t="str">
        <f>_xlfn.IFS(AND(HR_Data[[#This Row],[Age]]&gt;=18,HR_Data[[#This Row],[Age]]&lt;=25),"18-25",AND(HR_Data[[#This Row],[Age]]&gt;=26,HR_Data[[#This Row],[Age]]&lt;=35),"26-35",AND(HR_Data[[#This Row],[Age]]&gt;=36,HR_Data[[#This Row],[Age]]&lt;=45),"36-45",HR_Data[[#This Row],[Age]]&gt;45,"45+")</f>
        <v>45+</v>
      </c>
      <c r="AL8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82" spans="1:38"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f>IF(HR_Data[[#This Row],[Attrition]]="Yes",1,0)</f>
        <v>0</v>
      </c>
      <c r="AK882" t="str">
        <f>_xlfn.IFS(AND(HR_Data[[#This Row],[Age]]&gt;=18,HR_Data[[#This Row],[Age]]&lt;=25),"18-25",AND(HR_Data[[#This Row],[Age]]&gt;=26,HR_Data[[#This Row],[Age]]&lt;=35),"26-35",AND(HR_Data[[#This Row],[Age]]&gt;=36,HR_Data[[#This Row],[Age]]&lt;=45),"36-45",HR_Data[[#This Row],[Age]]&gt;45,"45+")</f>
        <v>26-35</v>
      </c>
      <c r="AL8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83" spans="1:38"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f>IF(HR_Data[[#This Row],[Attrition]]="Yes",1,0)</f>
        <v>0</v>
      </c>
      <c r="AK883" t="str">
        <f>_xlfn.IFS(AND(HR_Data[[#This Row],[Age]]&gt;=18,HR_Data[[#This Row],[Age]]&lt;=25),"18-25",AND(HR_Data[[#This Row],[Age]]&gt;=26,HR_Data[[#This Row],[Age]]&lt;=35),"26-35",AND(HR_Data[[#This Row],[Age]]&gt;=36,HR_Data[[#This Row],[Age]]&lt;=45),"36-45",HR_Data[[#This Row],[Age]]&gt;45,"45+")</f>
        <v>26-35</v>
      </c>
      <c r="AL8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84" spans="1:38"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f>IF(HR_Data[[#This Row],[Attrition]]="Yes",1,0)</f>
        <v>0</v>
      </c>
      <c r="AK884" t="str">
        <f>_xlfn.IFS(AND(HR_Data[[#This Row],[Age]]&gt;=18,HR_Data[[#This Row],[Age]]&lt;=25),"18-25",AND(HR_Data[[#This Row],[Age]]&gt;=26,HR_Data[[#This Row],[Age]]&lt;=35),"26-35",AND(HR_Data[[#This Row],[Age]]&gt;=36,HR_Data[[#This Row],[Age]]&lt;=45),"36-45",HR_Data[[#This Row],[Age]]&gt;45,"45+")</f>
        <v>36-45</v>
      </c>
      <c r="AL8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85" spans="1:38"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f>IF(HR_Data[[#This Row],[Attrition]]="Yes",1,0)</f>
        <v>0</v>
      </c>
      <c r="AK885" t="str">
        <f>_xlfn.IFS(AND(HR_Data[[#This Row],[Age]]&gt;=18,HR_Data[[#This Row],[Age]]&lt;=25),"18-25",AND(HR_Data[[#This Row],[Age]]&gt;=26,HR_Data[[#This Row],[Age]]&lt;=35),"26-35",AND(HR_Data[[#This Row],[Age]]&gt;=36,HR_Data[[#This Row],[Age]]&lt;=45),"36-45",HR_Data[[#This Row],[Age]]&gt;45,"45+")</f>
        <v>26-35</v>
      </c>
      <c r="AL8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86" spans="1:38"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f>IF(HR_Data[[#This Row],[Attrition]]="Yes",1,0)</f>
        <v>0</v>
      </c>
      <c r="AK886" t="str">
        <f>_xlfn.IFS(AND(HR_Data[[#This Row],[Age]]&gt;=18,HR_Data[[#This Row],[Age]]&lt;=25),"18-25",AND(HR_Data[[#This Row],[Age]]&gt;=26,HR_Data[[#This Row],[Age]]&lt;=35),"26-35",AND(HR_Data[[#This Row],[Age]]&gt;=36,HR_Data[[#This Row],[Age]]&lt;=45),"36-45",HR_Data[[#This Row],[Age]]&gt;45,"45+")</f>
        <v>36-45</v>
      </c>
      <c r="AL8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87" spans="1:38"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f>IF(HR_Data[[#This Row],[Attrition]]="Yes",1,0)</f>
        <v>0</v>
      </c>
      <c r="AK887" t="str">
        <f>_xlfn.IFS(AND(HR_Data[[#This Row],[Age]]&gt;=18,HR_Data[[#This Row],[Age]]&lt;=25),"18-25",AND(HR_Data[[#This Row],[Age]]&gt;=26,HR_Data[[#This Row],[Age]]&lt;=35),"26-35",AND(HR_Data[[#This Row],[Age]]&gt;=36,HR_Data[[#This Row],[Age]]&lt;=45),"36-45",HR_Data[[#This Row],[Age]]&gt;45,"45+")</f>
        <v>18-25</v>
      </c>
      <c r="AL8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88" spans="1:38"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f>IF(HR_Data[[#This Row],[Attrition]]="Yes",1,0)</f>
        <v>0</v>
      </c>
      <c r="AK888" t="str">
        <f>_xlfn.IFS(AND(HR_Data[[#This Row],[Age]]&gt;=18,HR_Data[[#This Row],[Age]]&lt;=25),"18-25",AND(HR_Data[[#This Row],[Age]]&gt;=26,HR_Data[[#This Row],[Age]]&lt;=35),"26-35",AND(HR_Data[[#This Row],[Age]]&gt;=36,HR_Data[[#This Row],[Age]]&lt;=45),"36-45",HR_Data[[#This Row],[Age]]&gt;45,"45+")</f>
        <v>26-35</v>
      </c>
      <c r="AL8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89" spans="1:38"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f>IF(HR_Data[[#This Row],[Attrition]]="Yes",1,0)</f>
        <v>0</v>
      </c>
      <c r="AK889" t="str">
        <f>_xlfn.IFS(AND(HR_Data[[#This Row],[Age]]&gt;=18,HR_Data[[#This Row],[Age]]&lt;=25),"18-25",AND(HR_Data[[#This Row],[Age]]&gt;=26,HR_Data[[#This Row],[Age]]&lt;=35),"26-35",AND(HR_Data[[#This Row],[Age]]&gt;=36,HR_Data[[#This Row],[Age]]&lt;=45),"36-45",HR_Data[[#This Row],[Age]]&gt;45,"45+")</f>
        <v>36-45</v>
      </c>
      <c r="AL8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90" spans="1:38"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f>IF(HR_Data[[#This Row],[Attrition]]="Yes",1,0)</f>
        <v>0</v>
      </c>
      <c r="AK890" t="str">
        <f>_xlfn.IFS(AND(HR_Data[[#This Row],[Age]]&gt;=18,HR_Data[[#This Row],[Age]]&lt;=25),"18-25",AND(HR_Data[[#This Row],[Age]]&gt;=26,HR_Data[[#This Row],[Age]]&lt;=35),"26-35",AND(HR_Data[[#This Row],[Age]]&gt;=36,HR_Data[[#This Row],[Age]]&lt;=45),"36-45",HR_Data[[#This Row],[Age]]&gt;45,"45+")</f>
        <v>26-35</v>
      </c>
      <c r="AL8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891" spans="1:38"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f>IF(HR_Data[[#This Row],[Attrition]]="Yes",1,0)</f>
        <v>0</v>
      </c>
      <c r="AK891" t="str">
        <f>_xlfn.IFS(AND(HR_Data[[#This Row],[Age]]&gt;=18,HR_Data[[#This Row],[Age]]&lt;=25),"18-25",AND(HR_Data[[#This Row],[Age]]&gt;=26,HR_Data[[#This Row],[Age]]&lt;=35),"26-35",AND(HR_Data[[#This Row],[Age]]&gt;=36,HR_Data[[#This Row],[Age]]&lt;=45),"36-45",HR_Data[[#This Row],[Age]]&gt;45,"45+")</f>
        <v>26-35</v>
      </c>
      <c r="AL8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92" spans="1:38"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f>IF(HR_Data[[#This Row],[Attrition]]="Yes",1,0)</f>
        <v>0</v>
      </c>
      <c r="AK892" t="str">
        <f>_xlfn.IFS(AND(HR_Data[[#This Row],[Age]]&gt;=18,HR_Data[[#This Row],[Age]]&lt;=25),"18-25",AND(HR_Data[[#This Row],[Age]]&gt;=26,HR_Data[[#This Row],[Age]]&lt;=35),"26-35",AND(HR_Data[[#This Row],[Age]]&gt;=36,HR_Data[[#This Row],[Age]]&lt;=45),"36-45",HR_Data[[#This Row],[Age]]&gt;45,"45+")</f>
        <v>45+</v>
      </c>
      <c r="AL8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93" spans="1:38"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f>IF(HR_Data[[#This Row],[Attrition]]="Yes",1,0)</f>
        <v>0</v>
      </c>
      <c r="AK893" t="str">
        <f>_xlfn.IFS(AND(HR_Data[[#This Row],[Age]]&gt;=18,HR_Data[[#This Row],[Age]]&lt;=25),"18-25",AND(HR_Data[[#This Row],[Age]]&gt;=26,HR_Data[[#This Row],[Age]]&lt;=35),"26-35",AND(HR_Data[[#This Row],[Age]]&gt;=36,HR_Data[[#This Row],[Age]]&lt;=45),"36-45",HR_Data[[#This Row],[Age]]&gt;45,"45+")</f>
        <v>36-45</v>
      </c>
      <c r="AL8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94" spans="1:38"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f>IF(HR_Data[[#This Row],[Attrition]]="Yes",1,0)</f>
        <v>1</v>
      </c>
      <c r="AK894" t="str">
        <f>_xlfn.IFS(AND(HR_Data[[#This Row],[Age]]&gt;=18,HR_Data[[#This Row],[Age]]&lt;=25),"18-25",AND(HR_Data[[#This Row],[Age]]&gt;=26,HR_Data[[#This Row],[Age]]&lt;=35),"26-35",AND(HR_Data[[#This Row],[Age]]&gt;=36,HR_Data[[#This Row],[Age]]&lt;=45),"36-45",HR_Data[[#This Row],[Age]]&gt;45,"45+")</f>
        <v>18-25</v>
      </c>
      <c r="AL8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895" spans="1:38"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f>IF(HR_Data[[#This Row],[Attrition]]="Yes",1,0)</f>
        <v>0</v>
      </c>
      <c r="AK895" t="str">
        <f>_xlfn.IFS(AND(HR_Data[[#This Row],[Age]]&gt;=18,HR_Data[[#This Row],[Age]]&lt;=25),"18-25",AND(HR_Data[[#This Row],[Age]]&gt;=26,HR_Data[[#This Row],[Age]]&lt;=35),"26-35",AND(HR_Data[[#This Row],[Age]]&gt;=36,HR_Data[[#This Row],[Age]]&lt;=45),"36-45",HR_Data[[#This Row],[Age]]&gt;45,"45+")</f>
        <v>26-35</v>
      </c>
      <c r="AL8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896" spans="1:38"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f>IF(HR_Data[[#This Row],[Attrition]]="Yes",1,0)</f>
        <v>0</v>
      </c>
      <c r="AK896" t="str">
        <f>_xlfn.IFS(AND(HR_Data[[#This Row],[Age]]&gt;=18,HR_Data[[#This Row],[Age]]&lt;=25),"18-25",AND(HR_Data[[#This Row],[Age]]&gt;=26,HR_Data[[#This Row],[Age]]&lt;=35),"26-35",AND(HR_Data[[#This Row],[Age]]&gt;=36,HR_Data[[#This Row],[Age]]&lt;=45),"36-45",HR_Data[[#This Row],[Age]]&gt;45,"45+")</f>
        <v>45+</v>
      </c>
      <c r="AL8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97" spans="1:38"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f>IF(HR_Data[[#This Row],[Attrition]]="Yes",1,0)</f>
        <v>0</v>
      </c>
      <c r="AK897" t="str">
        <f>_xlfn.IFS(AND(HR_Data[[#This Row],[Age]]&gt;=18,HR_Data[[#This Row],[Age]]&lt;=25),"18-25",AND(HR_Data[[#This Row],[Age]]&gt;=26,HR_Data[[#This Row],[Age]]&lt;=35),"26-35",AND(HR_Data[[#This Row],[Age]]&gt;=36,HR_Data[[#This Row],[Age]]&lt;=45),"36-45",HR_Data[[#This Row],[Age]]&gt;45,"45+")</f>
        <v>26-35</v>
      </c>
      <c r="AL8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98" spans="1:38"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f>IF(HR_Data[[#This Row],[Attrition]]="Yes",1,0)</f>
        <v>0</v>
      </c>
      <c r="AK898" t="str">
        <f>_xlfn.IFS(AND(HR_Data[[#This Row],[Age]]&gt;=18,HR_Data[[#This Row],[Age]]&lt;=25),"18-25",AND(HR_Data[[#This Row],[Age]]&gt;=26,HR_Data[[#This Row],[Age]]&lt;=35),"26-35",AND(HR_Data[[#This Row],[Age]]&gt;=36,HR_Data[[#This Row],[Age]]&lt;=45),"36-45",HR_Data[[#This Row],[Age]]&gt;45,"45+")</f>
        <v>26-35</v>
      </c>
      <c r="AL8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899" spans="1:38"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f>IF(HR_Data[[#This Row],[Attrition]]="Yes",1,0)</f>
        <v>0</v>
      </c>
      <c r="AK899" t="str">
        <f>_xlfn.IFS(AND(HR_Data[[#This Row],[Age]]&gt;=18,HR_Data[[#This Row],[Age]]&lt;=25),"18-25",AND(HR_Data[[#This Row],[Age]]&gt;=26,HR_Data[[#This Row],[Age]]&lt;=35),"26-35",AND(HR_Data[[#This Row],[Age]]&gt;=36,HR_Data[[#This Row],[Age]]&lt;=45),"36-45",HR_Data[[#This Row],[Age]]&gt;45,"45+")</f>
        <v>45+</v>
      </c>
      <c r="AL8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00" spans="1:38"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f>IF(HR_Data[[#This Row],[Attrition]]="Yes",1,0)</f>
        <v>0</v>
      </c>
      <c r="AK900" t="str">
        <f>_xlfn.IFS(AND(HR_Data[[#This Row],[Age]]&gt;=18,HR_Data[[#This Row],[Age]]&lt;=25),"18-25",AND(HR_Data[[#This Row],[Age]]&gt;=26,HR_Data[[#This Row],[Age]]&lt;=35),"26-35",AND(HR_Data[[#This Row],[Age]]&gt;=36,HR_Data[[#This Row],[Age]]&lt;=45),"36-45",HR_Data[[#This Row],[Age]]&gt;45,"45+")</f>
        <v>36-45</v>
      </c>
      <c r="AL9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01" spans="1:38"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f>IF(HR_Data[[#This Row],[Attrition]]="Yes",1,0)</f>
        <v>0</v>
      </c>
      <c r="AK901" t="str">
        <f>_xlfn.IFS(AND(HR_Data[[#This Row],[Age]]&gt;=18,HR_Data[[#This Row],[Age]]&lt;=25),"18-25",AND(HR_Data[[#This Row],[Age]]&gt;=26,HR_Data[[#This Row],[Age]]&lt;=35),"26-35",AND(HR_Data[[#This Row],[Age]]&gt;=36,HR_Data[[#This Row],[Age]]&lt;=45),"36-45",HR_Data[[#This Row],[Age]]&gt;45,"45+")</f>
        <v>45+</v>
      </c>
      <c r="AL9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02" spans="1:38"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f>IF(HR_Data[[#This Row],[Attrition]]="Yes",1,0)</f>
        <v>0</v>
      </c>
      <c r="AK902" t="str">
        <f>_xlfn.IFS(AND(HR_Data[[#This Row],[Age]]&gt;=18,HR_Data[[#This Row],[Age]]&lt;=25),"18-25",AND(HR_Data[[#This Row],[Age]]&gt;=26,HR_Data[[#This Row],[Age]]&lt;=35),"26-35",AND(HR_Data[[#This Row],[Age]]&gt;=36,HR_Data[[#This Row],[Age]]&lt;=45),"36-45",HR_Data[[#This Row],[Age]]&gt;45,"45+")</f>
        <v>36-45</v>
      </c>
      <c r="AL9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03" spans="1:38"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f>IF(HR_Data[[#This Row],[Attrition]]="Yes",1,0)</f>
        <v>0</v>
      </c>
      <c r="AK903" t="str">
        <f>_xlfn.IFS(AND(HR_Data[[#This Row],[Age]]&gt;=18,HR_Data[[#This Row],[Age]]&lt;=25),"18-25",AND(HR_Data[[#This Row],[Age]]&gt;=26,HR_Data[[#This Row],[Age]]&lt;=35),"26-35",AND(HR_Data[[#This Row],[Age]]&gt;=36,HR_Data[[#This Row],[Age]]&lt;=45),"36-45",HR_Data[[#This Row],[Age]]&gt;45,"45+")</f>
        <v>45+</v>
      </c>
      <c r="AL9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04" spans="1:38"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f>IF(HR_Data[[#This Row],[Attrition]]="Yes",1,0)</f>
        <v>0</v>
      </c>
      <c r="AK904" t="str">
        <f>_xlfn.IFS(AND(HR_Data[[#This Row],[Age]]&gt;=18,HR_Data[[#This Row],[Age]]&lt;=25),"18-25",AND(HR_Data[[#This Row],[Age]]&gt;=26,HR_Data[[#This Row],[Age]]&lt;=35),"26-35",AND(HR_Data[[#This Row],[Age]]&gt;=36,HR_Data[[#This Row],[Age]]&lt;=45),"36-45",HR_Data[[#This Row],[Age]]&gt;45,"45+")</f>
        <v>26-35</v>
      </c>
      <c r="AL9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05" spans="1:38"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f>IF(HR_Data[[#This Row],[Attrition]]="Yes",1,0)</f>
        <v>0</v>
      </c>
      <c r="AK905" t="str">
        <f>_xlfn.IFS(AND(HR_Data[[#This Row],[Age]]&gt;=18,HR_Data[[#This Row],[Age]]&lt;=25),"18-25",AND(HR_Data[[#This Row],[Age]]&gt;=26,HR_Data[[#This Row],[Age]]&lt;=35),"26-35",AND(HR_Data[[#This Row],[Age]]&gt;=36,HR_Data[[#This Row],[Age]]&lt;=45),"36-45",HR_Data[[#This Row],[Age]]&gt;45,"45+")</f>
        <v>26-35</v>
      </c>
      <c r="AL9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06" spans="1:38"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f>IF(HR_Data[[#This Row],[Attrition]]="Yes",1,0)</f>
        <v>0</v>
      </c>
      <c r="AK906" t="str">
        <f>_xlfn.IFS(AND(HR_Data[[#This Row],[Age]]&gt;=18,HR_Data[[#This Row],[Age]]&lt;=25),"18-25",AND(HR_Data[[#This Row],[Age]]&gt;=26,HR_Data[[#This Row],[Age]]&lt;=35),"26-35",AND(HR_Data[[#This Row],[Age]]&gt;=36,HR_Data[[#This Row],[Age]]&lt;=45),"36-45",HR_Data[[#This Row],[Age]]&gt;45,"45+")</f>
        <v>45+</v>
      </c>
      <c r="AL9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07" spans="1:38"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f>IF(HR_Data[[#This Row],[Attrition]]="Yes",1,0)</f>
        <v>0</v>
      </c>
      <c r="AK907" t="str">
        <f>_xlfn.IFS(AND(HR_Data[[#This Row],[Age]]&gt;=18,HR_Data[[#This Row],[Age]]&lt;=25),"18-25",AND(HR_Data[[#This Row],[Age]]&gt;=26,HR_Data[[#This Row],[Age]]&lt;=35),"26-35",AND(HR_Data[[#This Row],[Age]]&gt;=36,HR_Data[[#This Row],[Age]]&lt;=45),"36-45",HR_Data[[#This Row],[Age]]&gt;45,"45+")</f>
        <v>26-35</v>
      </c>
      <c r="AL9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08" spans="1:38"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f>IF(HR_Data[[#This Row],[Attrition]]="Yes",1,0)</f>
        <v>0</v>
      </c>
      <c r="AK908" t="str">
        <f>_xlfn.IFS(AND(HR_Data[[#This Row],[Age]]&gt;=18,HR_Data[[#This Row],[Age]]&lt;=25),"18-25",AND(HR_Data[[#This Row],[Age]]&gt;=26,HR_Data[[#This Row],[Age]]&lt;=35),"26-35",AND(HR_Data[[#This Row],[Age]]&gt;=36,HR_Data[[#This Row],[Age]]&lt;=45),"36-45",HR_Data[[#This Row],[Age]]&gt;45,"45+")</f>
        <v>26-35</v>
      </c>
      <c r="AL9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09" spans="1:38"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f>IF(HR_Data[[#This Row],[Attrition]]="Yes",1,0)</f>
        <v>0</v>
      </c>
      <c r="AK909" t="str">
        <f>_xlfn.IFS(AND(HR_Data[[#This Row],[Age]]&gt;=18,HR_Data[[#This Row],[Age]]&lt;=25),"18-25",AND(HR_Data[[#This Row],[Age]]&gt;=26,HR_Data[[#This Row],[Age]]&lt;=35),"26-35",AND(HR_Data[[#This Row],[Age]]&gt;=36,HR_Data[[#This Row],[Age]]&lt;=45),"36-45",HR_Data[[#This Row],[Age]]&gt;45,"45+")</f>
        <v>36-45</v>
      </c>
      <c r="AL9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10" spans="1:38"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f>IF(HR_Data[[#This Row],[Attrition]]="Yes",1,0)</f>
        <v>0</v>
      </c>
      <c r="AK910" t="str">
        <f>_xlfn.IFS(AND(HR_Data[[#This Row],[Age]]&gt;=18,HR_Data[[#This Row],[Age]]&lt;=25),"18-25",AND(HR_Data[[#This Row],[Age]]&gt;=26,HR_Data[[#This Row],[Age]]&lt;=35),"26-35",AND(HR_Data[[#This Row],[Age]]&gt;=36,HR_Data[[#This Row],[Age]]&lt;=45),"36-45",HR_Data[[#This Row],[Age]]&gt;45,"45+")</f>
        <v>26-35</v>
      </c>
      <c r="AL9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11" spans="1:38"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f>IF(HR_Data[[#This Row],[Attrition]]="Yes",1,0)</f>
        <v>0</v>
      </c>
      <c r="AK911" t="str">
        <f>_xlfn.IFS(AND(HR_Data[[#This Row],[Age]]&gt;=18,HR_Data[[#This Row],[Age]]&lt;=25),"18-25",AND(HR_Data[[#This Row],[Age]]&gt;=26,HR_Data[[#This Row],[Age]]&lt;=35),"26-35",AND(HR_Data[[#This Row],[Age]]&gt;=36,HR_Data[[#This Row],[Age]]&lt;=45),"36-45",HR_Data[[#This Row],[Age]]&gt;45,"45+")</f>
        <v>18-25</v>
      </c>
      <c r="AL9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12" spans="1:38"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f>IF(HR_Data[[#This Row],[Attrition]]="Yes",1,0)</f>
        <v>0</v>
      </c>
      <c r="AK912" t="str">
        <f>_xlfn.IFS(AND(HR_Data[[#This Row],[Age]]&gt;=18,HR_Data[[#This Row],[Age]]&lt;=25),"18-25",AND(HR_Data[[#This Row],[Age]]&gt;=26,HR_Data[[#This Row],[Age]]&lt;=35),"26-35",AND(HR_Data[[#This Row],[Age]]&gt;=36,HR_Data[[#This Row],[Age]]&lt;=45),"36-45",HR_Data[[#This Row],[Age]]&gt;45,"45+")</f>
        <v>18-25</v>
      </c>
      <c r="AL9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13" spans="1:38"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f>IF(HR_Data[[#This Row],[Attrition]]="Yes",1,0)</f>
        <v>1</v>
      </c>
      <c r="AK913" t="str">
        <f>_xlfn.IFS(AND(HR_Data[[#This Row],[Age]]&gt;=18,HR_Data[[#This Row],[Age]]&lt;=25),"18-25",AND(HR_Data[[#This Row],[Age]]&gt;=26,HR_Data[[#This Row],[Age]]&lt;=35),"26-35",AND(HR_Data[[#This Row],[Age]]&gt;=36,HR_Data[[#This Row],[Age]]&lt;=45),"36-45",HR_Data[[#This Row],[Age]]&gt;45,"45+")</f>
        <v>18-25</v>
      </c>
      <c r="AL9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14" spans="1:38"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f>IF(HR_Data[[#This Row],[Attrition]]="Yes",1,0)</f>
        <v>0</v>
      </c>
      <c r="AK914" t="str">
        <f>_xlfn.IFS(AND(HR_Data[[#This Row],[Age]]&gt;=18,HR_Data[[#This Row],[Age]]&lt;=25),"18-25",AND(HR_Data[[#This Row],[Age]]&gt;=26,HR_Data[[#This Row],[Age]]&lt;=35),"26-35",AND(HR_Data[[#This Row],[Age]]&gt;=36,HR_Data[[#This Row],[Age]]&lt;=45),"36-45",HR_Data[[#This Row],[Age]]&gt;45,"45+")</f>
        <v>26-35</v>
      </c>
      <c r="AL9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15" spans="1:38"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f>IF(HR_Data[[#This Row],[Attrition]]="Yes",1,0)</f>
        <v>1</v>
      </c>
      <c r="AK915" t="str">
        <f>_xlfn.IFS(AND(HR_Data[[#This Row],[Age]]&gt;=18,HR_Data[[#This Row],[Age]]&lt;=25),"18-25",AND(HR_Data[[#This Row],[Age]]&gt;=26,HR_Data[[#This Row],[Age]]&lt;=35),"26-35",AND(HR_Data[[#This Row],[Age]]&gt;=36,HR_Data[[#This Row],[Age]]&lt;=45),"36-45",HR_Data[[#This Row],[Age]]&gt;45,"45+")</f>
        <v>36-45</v>
      </c>
      <c r="AL9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16" spans="1:38"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f>IF(HR_Data[[#This Row],[Attrition]]="Yes",1,0)</f>
        <v>0</v>
      </c>
      <c r="AK916" t="str">
        <f>_xlfn.IFS(AND(HR_Data[[#This Row],[Age]]&gt;=18,HR_Data[[#This Row],[Age]]&lt;=25),"18-25",AND(HR_Data[[#This Row],[Age]]&gt;=26,HR_Data[[#This Row],[Age]]&lt;=35),"26-35",AND(HR_Data[[#This Row],[Age]]&gt;=36,HR_Data[[#This Row],[Age]]&lt;=45),"36-45",HR_Data[[#This Row],[Age]]&gt;45,"45+")</f>
        <v>45+</v>
      </c>
      <c r="AL9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17" spans="1:38"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f>IF(HR_Data[[#This Row],[Attrition]]="Yes",1,0)</f>
        <v>1</v>
      </c>
      <c r="AK917" t="str">
        <f>_xlfn.IFS(AND(HR_Data[[#This Row],[Age]]&gt;=18,HR_Data[[#This Row],[Age]]&lt;=25),"18-25",AND(HR_Data[[#This Row],[Age]]&gt;=26,HR_Data[[#This Row],[Age]]&lt;=35),"26-35",AND(HR_Data[[#This Row],[Age]]&gt;=36,HR_Data[[#This Row],[Age]]&lt;=45),"36-45",HR_Data[[#This Row],[Age]]&gt;45,"45+")</f>
        <v>18-25</v>
      </c>
      <c r="AL9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18" spans="1:38"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f>IF(HR_Data[[#This Row],[Attrition]]="Yes",1,0)</f>
        <v>0</v>
      </c>
      <c r="AK918" t="str">
        <f>_xlfn.IFS(AND(HR_Data[[#This Row],[Age]]&gt;=18,HR_Data[[#This Row],[Age]]&lt;=25),"18-25",AND(HR_Data[[#This Row],[Age]]&gt;=26,HR_Data[[#This Row],[Age]]&lt;=35),"26-35",AND(HR_Data[[#This Row],[Age]]&gt;=36,HR_Data[[#This Row],[Age]]&lt;=45),"36-45",HR_Data[[#This Row],[Age]]&gt;45,"45+")</f>
        <v>45+</v>
      </c>
      <c r="AL9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19" spans="1:38"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f>IF(HR_Data[[#This Row],[Attrition]]="Yes",1,0)</f>
        <v>0</v>
      </c>
      <c r="AK919" t="str">
        <f>_xlfn.IFS(AND(HR_Data[[#This Row],[Age]]&gt;=18,HR_Data[[#This Row],[Age]]&lt;=25),"18-25",AND(HR_Data[[#This Row],[Age]]&gt;=26,HR_Data[[#This Row],[Age]]&lt;=35),"26-35",AND(HR_Data[[#This Row],[Age]]&gt;=36,HR_Data[[#This Row],[Age]]&lt;=45),"36-45",HR_Data[[#This Row],[Age]]&gt;45,"45+")</f>
        <v>26-35</v>
      </c>
      <c r="AL9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20" spans="1:38"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f>IF(HR_Data[[#This Row],[Attrition]]="Yes",1,0)</f>
        <v>0</v>
      </c>
      <c r="AK920" t="str">
        <f>_xlfn.IFS(AND(HR_Data[[#This Row],[Age]]&gt;=18,HR_Data[[#This Row],[Age]]&lt;=25),"18-25",AND(HR_Data[[#This Row],[Age]]&gt;=26,HR_Data[[#This Row],[Age]]&lt;=35),"26-35",AND(HR_Data[[#This Row],[Age]]&gt;=36,HR_Data[[#This Row],[Age]]&lt;=45),"36-45",HR_Data[[#This Row],[Age]]&gt;45,"45+")</f>
        <v>45+</v>
      </c>
      <c r="AL9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21" spans="1:38"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f>IF(HR_Data[[#This Row],[Attrition]]="Yes",1,0)</f>
        <v>0</v>
      </c>
      <c r="AK921" t="str">
        <f>_xlfn.IFS(AND(HR_Data[[#This Row],[Age]]&gt;=18,HR_Data[[#This Row],[Age]]&lt;=25),"18-25",AND(HR_Data[[#This Row],[Age]]&gt;=26,HR_Data[[#This Row],[Age]]&lt;=35),"26-35",AND(HR_Data[[#This Row],[Age]]&gt;=36,HR_Data[[#This Row],[Age]]&lt;=45),"36-45",HR_Data[[#This Row],[Age]]&gt;45,"45+")</f>
        <v>45+</v>
      </c>
      <c r="AL9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22" spans="1:38"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f>IF(HR_Data[[#This Row],[Attrition]]="Yes",1,0)</f>
        <v>0</v>
      </c>
      <c r="AK922" t="str">
        <f>_xlfn.IFS(AND(HR_Data[[#This Row],[Age]]&gt;=18,HR_Data[[#This Row],[Age]]&lt;=25),"18-25",AND(HR_Data[[#This Row],[Age]]&gt;=26,HR_Data[[#This Row],[Age]]&lt;=35),"26-35",AND(HR_Data[[#This Row],[Age]]&gt;=36,HR_Data[[#This Row],[Age]]&lt;=45),"36-45",HR_Data[[#This Row],[Age]]&gt;45,"45+")</f>
        <v>26-35</v>
      </c>
      <c r="AL9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23" spans="1:38"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f>IF(HR_Data[[#This Row],[Attrition]]="Yes",1,0)</f>
        <v>0</v>
      </c>
      <c r="AK923" t="str">
        <f>_xlfn.IFS(AND(HR_Data[[#This Row],[Age]]&gt;=18,HR_Data[[#This Row],[Age]]&lt;=25),"18-25",AND(HR_Data[[#This Row],[Age]]&gt;=26,HR_Data[[#This Row],[Age]]&lt;=35),"26-35",AND(HR_Data[[#This Row],[Age]]&gt;=36,HR_Data[[#This Row],[Age]]&lt;=45),"36-45",HR_Data[[#This Row],[Age]]&gt;45,"45+")</f>
        <v>26-35</v>
      </c>
      <c r="AL9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24" spans="1:38"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f>IF(HR_Data[[#This Row],[Attrition]]="Yes",1,0)</f>
        <v>0</v>
      </c>
      <c r="AK924" t="str">
        <f>_xlfn.IFS(AND(HR_Data[[#This Row],[Age]]&gt;=18,HR_Data[[#This Row],[Age]]&lt;=25),"18-25",AND(HR_Data[[#This Row],[Age]]&gt;=26,HR_Data[[#This Row],[Age]]&lt;=35),"26-35",AND(HR_Data[[#This Row],[Age]]&gt;=36,HR_Data[[#This Row],[Age]]&lt;=45),"36-45",HR_Data[[#This Row],[Age]]&gt;45,"45+")</f>
        <v>36-45</v>
      </c>
      <c r="AL9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25" spans="1:38"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f>IF(HR_Data[[#This Row],[Attrition]]="Yes",1,0)</f>
        <v>0</v>
      </c>
      <c r="AK925" t="str">
        <f>_xlfn.IFS(AND(HR_Data[[#This Row],[Age]]&gt;=18,HR_Data[[#This Row],[Age]]&lt;=25),"18-25",AND(HR_Data[[#This Row],[Age]]&gt;=26,HR_Data[[#This Row],[Age]]&lt;=35),"26-35",AND(HR_Data[[#This Row],[Age]]&gt;=36,HR_Data[[#This Row],[Age]]&lt;=45),"36-45",HR_Data[[#This Row],[Age]]&gt;45,"45+")</f>
        <v>26-35</v>
      </c>
      <c r="AL9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26" spans="1:38"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f>IF(HR_Data[[#This Row],[Attrition]]="Yes",1,0)</f>
        <v>0</v>
      </c>
      <c r="AK926" t="str">
        <f>_xlfn.IFS(AND(HR_Data[[#This Row],[Age]]&gt;=18,HR_Data[[#This Row],[Age]]&lt;=25),"18-25",AND(HR_Data[[#This Row],[Age]]&gt;=26,HR_Data[[#This Row],[Age]]&lt;=35),"26-35",AND(HR_Data[[#This Row],[Age]]&gt;=36,HR_Data[[#This Row],[Age]]&lt;=45),"36-45",HR_Data[[#This Row],[Age]]&gt;45,"45+")</f>
        <v>26-35</v>
      </c>
      <c r="AL9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27" spans="1:38"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f>IF(HR_Data[[#This Row],[Attrition]]="Yes",1,0)</f>
        <v>0</v>
      </c>
      <c r="AK927" t="str">
        <f>_xlfn.IFS(AND(HR_Data[[#This Row],[Age]]&gt;=18,HR_Data[[#This Row],[Age]]&lt;=25),"18-25",AND(HR_Data[[#This Row],[Age]]&gt;=26,HR_Data[[#This Row],[Age]]&lt;=35),"26-35",AND(HR_Data[[#This Row],[Age]]&gt;=36,HR_Data[[#This Row],[Age]]&lt;=45),"36-45",HR_Data[[#This Row],[Age]]&gt;45,"45+")</f>
        <v>36-45</v>
      </c>
      <c r="AL9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28" spans="1:38"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f>IF(HR_Data[[#This Row],[Attrition]]="Yes",1,0)</f>
        <v>0</v>
      </c>
      <c r="AK928" t="str">
        <f>_xlfn.IFS(AND(HR_Data[[#This Row],[Age]]&gt;=18,HR_Data[[#This Row],[Age]]&lt;=25),"18-25",AND(HR_Data[[#This Row],[Age]]&gt;=26,HR_Data[[#This Row],[Age]]&lt;=35),"26-35",AND(HR_Data[[#This Row],[Age]]&gt;=36,HR_Data[[#This Row],[Age]]&lt;=45),"36-45",HR_Data[[#This Row],[Age]]&gt;45,"45+")</f>
        <v>36-45</v>
      </c>
      <c r="AL9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29" spans="1:38"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f>IF(HR_Data[[#This Row],[Attrition]]="Yes",1,0)</f>
        <v>0</v>
      </c>
      <c r="AK929" t="str">
        <f>_xlfn.IFS(AND(HR_Data[[#This Row],[Age]]&gt;=18,HR_Data[[#This Row],[Age]]&lt;=25),"18-25",AND(HR_Data[[#This Row],[Age]]&gt;=26,HR_Data[[#This Row],[Age]]&lt;=35),"26-35",AND(HR_Data[[#This Row],[Age]]&gt;=36,HR_Data[[#This Row],[Age]]&lt;=45),"36-45",HR_Data[[#This Row],[Age]]&gt;45,"45+")</f>
        <v>36-45</v>
      </c>
      <c r="AL9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30" spans="1:38"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f>IF(HR_Data[[#This Row],[Attrition]]="Yes",1,0)</f>
        <v>1</v>
      </c>
      <c r="AK930" t="str">
        <f>_xlfn.IFS(AND(HR_Data[[#This Row],[Age]]&gt;=18,HR_Data[[#This Row],[Age]]&lt;=25),"18-25",AND(HR_Data[[#This Row],[Age]]&gt;=26,HR_Data[[#This Row],[Age]]&lt;=35),"26-35",AND(HR_Data[[#This Row],[Age]]&gt;=36,HR_Data[[#This Row],[Age]]&lt;=45),"36-45",HR_Data[[#This Row],[Age]]&gt;45,"45+")</f>
        <v>36-45</v>
      </c>
      <c r="AL9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31" spans="1:38"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f>IF(HR_Data[[#This Row],[Attrition]]="Yes",1,0)</f>
        <v>0</v>
      </c>
      <c r="AK931" t="str">
        <f>_xlfn.IFS(AND(HR_Data[[#This Row],[Age]]&gt;=18,HR_Data[[#This Row],[Age]]&lt;=25),"18-25",AND(HR_Data[[#This Row],[Age]]&gt;=26,HR_Data[[#This Row],[Age]]&lt;=35),"26-35",AND(HR_Data[[#This Row],[Age]]&gt;=36,HR_Data[[#This Row],[Age]]&lt;=45),"36-45",HR_Data[[#This Row],[Age]]&gt;45,"45+")</f>
        <v>26-35</v>
      </c>
      <c r="AL9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32" spans="1:38"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f>IF(HR_Data[[#This Row],[Attrition]]="Yes",1,0)</f>
        <v>0</v>
      </c>
      <c r="AK932" t="str">
        <f>_xlfn.IFS(AND(HR_Data[[#This Row],[Age]]&gt;=18,HR_Data[[#This Row],[Age]]&lt;=25),"18-25",AND(HR_Data[[#This Row],[Age]]&gt;=26,HR_Data[[#This Row],[Age]]&lt;=35),"26-35",AND(HR_Data[[#This Row],[Age]]&gt;=36,HR_Data[[#This Row],[Age]]&lt;=45),"36-45",HR_Data[[#This Row],[Age]]&gt;45,"45+")</f>
        <v>45+</v>
      </c>
      <c r="AL9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33" spans="1:38"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f>IF(HR_Data[[#This Row],[Attrition]]="Yes",1,0)</f>
        <v>0</v>
      </c>
      <c r="AK933" t="str">
        <f>_xlfn.IFS(AND(HR_Data[[#This Row],[Age]]&gt;=18,HR_Data[[#This Row],[Age]]&lt;=25),"18-25",AND(HR_Data[[#This Row],[Age]]&gt;=26,HR_Data[[#This Row],[Age]]&lt;=35),"26-35",AND(HR_Data[[#This Row],[Age]]&gt;=36,HR_Data[[#This Row],[Age]]&lt;=45),"36-45",HR_Data[[#This Row],[Age]]&gt;45,"45+")</f>
        <v>26-35</v>
      </c>
      <c r="AL9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34" spans="1:38"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f>IF(HR_Data[[#This Row],[Attrition]]="Yes",1,0)</f>
        <v>1</v>
      </c>
      <c r="AK934" t="str">
        <f>_xlfn.IFS(AND(HR_Data[[#This Row],[Age]]&gt;=18,HR_Data[[#This Row],[Age]]&lt;=25),"18-25",AND(HR_Data[[#This Row],[Age]]&gt;=26,HR_Data[[#This Row],[Age]]&lt;=35),"26-35",AND(HR_Data[[#This Row],[Age]]&gt;=36,HR_Data[[#This Row],[Age]]&lt;=45),"36-45",HR_Data[[#This Row],[Age]]&gt;45,"45+")</f>
        <v>26-35</v>
      </c>
      <c r="AL9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35" spans="1:38"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f>IF(HR_Data[[#This Row],[Attrition]]="Yes",1,0)</f>
        <v>0</v>
      </c>
      <c r="AK935" t="str">
        <f>_xlfn.IFS(AND(HR_Data[[#This Row],[Age]]&gt;=18,HR_Data[[#This Row],[Age]]&lt;=25),"18-25",AND(HR_Data[[#This Row],[Age]]&gt;=26,HR_Data[[#This Row],[Age]]&lt;=35),"26-35",AND(HR_Data[[#This Row],[Age]]&gt;=36,HR_Data[[#This Row],[Age]]&lt;=45),"36-45",HR_Data[[#This Row],[Age]]&gt;45,"45+")</f>
        <v>26-35</v>
      </c>
      <c r="AL9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36" spans="1:38"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f>IF(HR_Data[[#This Row],[Attrition]]="Yes",1,0)</f>
        <v>0</v>
      </c>
      <c r="AK936" t="str">
        <f>_xlfn.IFS(AND(HR_Data[[#This Row],[Age]]&gt;=18,HR_Data[[#This Row],[Age]]&lt;=25),"18-25",AND(HR_Data[[#This Row],[Age]]&gt;=26,HR_Data[[#This Row],[Age]]&lt;=35),"26-35",AND(HR_Data[[#This Row],[Age]]&gt;=36,HR_Data[[#This Row],[Age]]&lt;=45),"36-45",HR_Data[[#This Row],[Age]]&gt;45,"45+")</f>
        <v>18-25</v>
      </c>
      <c r="AL9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37" spans="1:38"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f>IF(HR_Data[[#This Row],[Attrition]]="Yes",1,0)</f>
        <v>0</v>
      </c>
      <c r="AK937" t="str">
        <f>_xlfn.IFS(AND(HR_Data[[#This Row],[Age]]&gt;=18,HR_Data[[#This Row],[Age]]&lt;=25),"18-25",AND(HR_Data[[#This Row],[Age]]&gt;=26,HR_Data[[#This Row],[Age]]&lt;=35),"26-35",AND(HR_Data[[#This Row],[Age]]&gt;=36,HR_Data[[#This Row],[Age]]&lt;=45),"36-45",HR_Data[[#This Row],[Age]]&gt;45,"45+")</f>
        <v>26-35</v>
      </c>
      <c r="AL9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38" spans="1:38"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f>IF(HR_Data[[#This Row],[Attrition]]="Yes",1,0)</f>
        <v>0</v>
      </c>
      <c r="AK938" t="str">
        <f>_xlfn.IFS(AND(HR_Data[[#This Row],[Age]]&gt;=18,HR_Data[[#This Row],[Age]]&lt;=25),"18-25",AND(HR_Data[[#This Row],[Age]]&gt;=26,HR_Data[[#This Row],[Age]]&lt;=35),"26-35",AND(HR_Data[[#This Row],[Age]]&gt;=36,HR_Data[[#This Row],[Age]]&lt;=45),"36-45",HR_Data[[#This Row],[Age]]&gt;45,"45+")</f>
        <v>36-45</v>
      </c>
      <c r="AL9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39" spans="1:38"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f>IF(HR_Data[[#This Row],[Attrition]]="Yes",1,0)</f>
        <v>0</v>
      </c>
      <c r="AK939" t="str">
        <f>_xlfn.IFS(AND(HR_Data[[#This Row],[Age]]&gt;=18,HR_Data[[#This Row],[Age]]&lt;=25),"18-25",AND(HR_Data[[#This Row],[Age]]&gt;=26,HR_Data[[#This Row],[Age]]&lt;=35),"26-35",AND(HR_Data[[#This Row],[Age]]&gt;=36,HR_Data[[#This Row],[Age]]&lt;=45),"36-45",HR_Data[[#This Row],[Age]]&gt;45,"45+")</f>
        <v>36-45</v>
      </c>
      <c r="AL9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40" spans="1:38"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f>IF(HR_Data[[#This Row],[Attrition]]="Yes",1,0)</f>
        <v>0</v>
      </c>
      <c r="AK940" t="str">
        <f>_xlfn.IFS(AND(HR_Data[[#This Row],[Age]]&gt;=18,HR_Data[[#This Row],[Age]]&lt;=25),"18-25",AND(HR_Data[[#This Row],[Age]]&gt;=26,HR_Data[[#This Row],[Age]]&lt;=35),"26-35",AND(HR_Data[[#This Row],[Age]]&gt;=36,HR_Data[[#This Row],[Age]]&lt;=45),"36-45",HR_Data[[#This Row],[Age]]&gt;45,"45+")</f>
        <v>45+</v>
      </c>
      <c r="AL9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41" spans="1:38"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f>IF(HR_Data[[#This Row],[Attrition]]="Yes",1,0)</f>
        <v>1</v>
      </c>
      <c r="AK941" t="str">
        <f>_xlfn.IFS(AND(HR_Data[[#This Row],[Age]]&gt;=18,HR_Data[[#This Row],[Age]]&lt;=25),"18-25",AND(HR_Data[[#This Row],[Age]]&gt;=26,HR_Data[[#This Row],[Age]]&lt;=35),"26-35",AND(HR_Data[[#This Row],[Age]]&gt;=36,HR_Data[[#This Row],[Age]]&lt;=45),"36-45",HR_Data[[#This Row],[Age]]&gt;45,"45+")</f>
        <v>26-35</v>
      </c>
      <c r="AL9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42" spans="1:38"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f>IF(HR_Data[[#This Row],[Attrition]]="Yes",1,0)</f>
        <v>1</v>
      </c>
      <c r="AK942" t="str">
        <f>_xlfn.IFS(AND(HR_Data[[#This Row],[Age]]&gt;=18,HR_Data[[#This Row],[Age]]&lt;=25),"18-25",AND(HR_Data[[#This Row],[Age]]&gt;=26,HR_Data[[#This Row],[Age]]&lt;=35),"26-35",AND(HR_Data[[#This Row],[Age]]&gt;=36,HR_Data[[#This Row],[Age]]&lt;=45),"36-45",HR_Data[[#This Row],[Age]]&gt;45,"45+")</f>
        <v>36-45</v>
      </c>
      <c r="AL9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43" spans="1:38"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f>IF(HR_Data[[#This Row],[Attrition]]="Yes",1,0)</f>
        <v>0</v>
      </c>
      <c r="AK943" t="str">
        <f>_xlfn.IFS(AND(HR_Data[[#This Row],[Age]]&gt;=18,HR_Data[[#This Row],[Age]]&lt;=25),"18-25",AND(HR_Data[[#This Row],[Age]]&gt;=26,HR_Data[[#This Row],[Age]]&lt;=35),"26-35",AND(HR_Data[[#This Row],[Age]]&gt;=36,HR_Data[[#This Row],[Age]]&lt;=45),"36-45",HR_Data[[#This Row],[Age]]&gt;45,"45+")</f>
        <v>26-35</v>
      </c>
      <c r="AL9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44" spans="1:38"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f>IF(HR_Data[[#This Row],[Attrition]]="Yes",1,0)</f>
        <v>0</v>
      </c>
      <c r="AK944" t="str">
        <f>_xlfn.IFS(AND(HR_Data[[#This Row],[Age]]&gt;=18,HR_Data[[#This Row],[Age]]&lt;=25),"18-25",AND(HR_Data[[#This Row],[Age]]&gt;=26,HR_Data[[#This Row],[Age]]&lt;=35),"26-35",AND(HR_Data[[#This Row],[Age]]&gt;=36,HR_Data[[#This Row],[Age]]&lt;=45),"36-45",HR_Data[[#This Row],[Age]]&gt;45,"45+")</f>
        <v>36-45</v>
      </c>
      <c r="AL9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45" spans="1:38"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f>IF(HR_Data[[#This Row],[Attrition]]="Yes",1,0)</f>
        <v>0</v>
      </c>
      <c r="AK945" t="str">
        <f>_xlfn.IFS(AND(HR_Data[[#This Row],[Age]]&gt;=18,HR_Data[[#This Row],[Age]]&lt;=25),"18-25",AND(HR_Data[[#This Row],[Age]]&gt;=26,HR_Data[[#This Row],[Age]]&lt;=35),"26-35",AND(HR_Data[[#This Row],[Age]]&gt;=36,HR_Data[[#This Row],[Age]]&lt;=45),"36-45",HR_Data[[#This Row],[Age]]&gt;45,"45+")</f>
        <v>45+</v>
      </c>
      <c r="AL9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46" spans="1:38"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f>IF(HR_Data[[#This Row],[Attrition]]="Yes",1,0)</f>
        <v>0</v>
      </c>
      <c r="AK946" t="str">
        <f>_xlfn.IFS(AND(HR_Data[[#This Row],[Age]]&gt;=18,HR_Data[[#This Row],[Age]]&lt;=25),"18-25",AND(HR_Data[[#This Row],[Age]]&gt;=26,HR_Data[[#This Row],[Age]]&lt;=35),"26-35",AND(HR_Data[[#This Row],[Age]]&gt;=36,HR_Data[[#This Row],[Age]]&lt;=45),"36-45",HR_Data[[#This Row],[Age]]&gt;45,"45+")</f>
        <v>26-35</v>
      </c>
      <c r="AL9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47" spans="1:38"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f>IF(HR_Data[[#This Row],[Attrition]]="Yes",1,0)</f>
        <v>0</v>
      </c>
      <c r="AK947" t="str">
        <f>_xlfn.IFS(AND(HR_Data[[#This Row],[Age]]&gt;=18,HR_Data[[#This Row],[Age]]&lt;=25),"18-25",AND(HR_Data[[#This Row],[Age]]&gt;=26,HR_Data[[#This Row],[Age]]&lt;=35),"26-35",AND(HR_Data[[#This Row],[Age]]&gt;=36,HR_Data[[#This Row],[Age]]&lt;=45),"36-45",HR_Data[[#This Row],[Age]]&gt;45,"45+")</f>
        <v>45+</v>
      </c>
      <c r="AL9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48" spans="1:38"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f>IF(HR_Data[[#This Row],[Attrition]]="Yes",1,0)</f>
        <v>1</v>
      </c>
      <c r="AK948" t="str">
        <f>_xlfn.IFS(AND(HR_Data[[#This Row],[Age]]&gt;=18,HR_Data[[#This Row],[Age]]&lt;=25),"18-25",AND(HR_Data[[#This Row],[Age]]&gt;=26,HR_Data[[#This Row],[Age]]&lt;=35),"26-35",AND(HR_Data[[#This Row],[Age]]&gt;=36,HR_Data[[#This Row],[Age]]&lt;=45),"36-45",HR_Data[[#This Row],[Age]]&gt;45,"45+")</f>
        <v>36-45</v>
      </c>
      <c r="AL9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49" spans="1:38"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f>IF(HR_Data[[#This Row],[Attrition]]="Yes",1,0)</f>
        <v>1</v>
      </c>
      <c r="AK949" t="str">
        <f>_xlfn.IFS(AND(HR_Data[[#This Row],[Age]]&gt;=18,HR_Data[[#This Row],[Age]]&lt;=25),"18-25",AND(HR_Data[[#This Row],[Age]]&gt;=26,HR_Data[[#This Row],[Age]]&lt;=35),"26-35",AND(HR_Data[[#This Row],[Age]]&gt;=36,HR_Data[[#This Row],[Age]]&lt;=45),"36-45",HR_Data[[#This Row],[Age]]&gt;45,"45+")</f>
        <v>45+</v>
      </c>
      <c r="AL9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50" spans="1:38"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f>IF(HR_Data[[#This Row],[Attrition]]="Yes",1,0)</f>
        <v>0</v>
      </c>
      <c r="AK950" t="str">
        <f>_xlfn.IFS(AND(HR_Data[[#This Row],[Age]]&gt;=18,HR_Data[[#This Row],[Age]]&lt;=25),"18-25",AND(HR_Data[[#This Row],[Age]]&gt;=26,HR_Data[[#This Row],[Age]]&lt;=35),"26-35",AND(HR_Data[[#This Row],[Age]]&gt;=36,HR_Data[[#This Row],[Age]]&lt;=45),"36-45",HR_Data[[#This Row],[Age]]&gt;45,"45+")</f>
        <v>26-35</v>
      </c>
      <c r="AL9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51" spans="1:38"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f>IF(HR_Data[[#This Row],[Attrition]]="Yes",1,0)</f>
        <v>0</v>
      </c>
      <c r="AK951" t="str">
        <f>_xlfn.IFS(AND(HR_Data[[#This Row],[Age]]&gt;=18,HR_Data[[#This Row],[Age]]&lt;=25),"18-25",AND(HR_Data[[#This Row],[Age]]&gt;=26,HR_Data[[#This Row],[Age]]&lt;=35),"26-35",AND(HR_Data[[#This Row],[Age]]&gt;=36,HR_Data[[#This Row],[Age]]&lt;=45),"36-45",HR_Data[[#This Row],[Age]]&gt;45,"45+")</f>
        <v>36-45</v>
      </c>
      <c r="AL9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52" spans="1:38"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f>IF(HR_Data[[#This Row],[Attrition]]="Yes",1,0)</f>
        <v>0</v>
      </c>
      <c r="AK952" t="str">
        <f>_xlfn.IFS(AND(HR_Data[[#This Row],[Age]]&gt;=18,HR_Data[[#This Row],[Age]]&lt;=25),"18-25",AND(HR_Data[[#This Row],[Age]]&gt;=26,HR_Data[[#This Row],[Age]]&lt;=35),"26-35",AND(HR_Data[[#This Row],[Age]]&gt;=36,HR_Data[[#This Row],[Age]]&lt;=45),"36-45",HR_Data[[#This Row],[Age]]&gt;45,"45+")</f>
        <v>26-35</v>
      </c>
      <c r="AL9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53" spans="1:38"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f>IF(HR_Data[[#This Row],[Attrition]]="Yes",1,0)</f>
        <v>0</v>
      </c>
      <c r="AK953" t="str">
        <f>_xlfn.IFS(AND(HR_Data[[#This Row],[Age]]&gt;=18,HR_Data[[#This Row],[Age]]&lt;=25),"18-25",AND(HR_Data[[#This Row],[Age]]&gt;=26,HR_Data[[#This Row],[Age]]&lt;=35),"26-35",AND(HR_Data[[#This Row],[Age]]&gt;=36,HR_Data[[#This Row],[Age]]&lt;=45),"36-45",HR_Data[[#This Row],[Age]]&gt;45,"45+")</f>
        <v>36-45</v>
      </c>
      <c r="AL9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54" spans="1:38"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f>IF(HR_Data[[#This Row],[Attrition]]="Yes",1,0)</f>
        <v>1</v>
      </c>
      <c r="AK954" t="str">
        <f>_xlfn.IFS(AND(HR_Data[[#This Row],[Age]]&gt;=18,HR_Data[[#This Row],[Age]]&lt;=25),"18-25",AND(HR_Data[[#This Row],[Age]]&gt;=26,HR_Data[[#This Row],[Age]]&lt;=35),"26-35",AND(HR_Data[[#This Row],[Age]]&gt;=36,HR_Data[[#This Row],[Age]]&lt;=45),"36-45",HR_Data[[#This Row],[Age]]&gt;45,"45+")</f>
        <v>26-35</v>
      </c>
      <c r="AL9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55" spans="1:38"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f>IF(HR_Data[[#This Row],[Attrition]]="Yes",1,0)</f>
        <v>1</v>
      </c>
      <c r="AK955" t="str">
        <f>_xlfn.IFS(AND(HR_Data[[#This Row],[Age]]&gt;=18,HR_Data[[#This Row],[Age]]&lt;=25),"18-25",AND(HR_Data[[#This Row],[Age]]&gt;=26,HR_Data[[#This Row],[Age]]&lt;=35),"26-35",AND(HR_Data[[#This Row],[Age]]&gt;=36,HR_Data[[#This Row],[Age]]&lt;=45),"36-45",HR_Data[[#This Row],[Age]]&gt;45,"45+")</f>
        <v>36-45</v>
      </c>
      <c r="AL9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56" spans="1:38"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f>IF(HR_Data[[#This Row],[Attrition]]="Yes",1,0)</f>
        <v>0</v>
      </c>
      <c r="AK956" t="str">
        <f>_xlfn.IFS(AND(HR_Data[[#This Row],[Age]]&gt;=18,HR_Data[[#This Row],[Age]]&lt;=25),"18-25",AND(HR_Data[[#This Row],[Age]]&gt;=26,HR_Data[[#This Row],[Age]]&lt;=35),"26-35",AND(HR_Data[[#This Row],[Age]]&gt;=36,HR_Data[[#This Row],[Age]]&lt;=45),"36-45",HR_Data[[#This Row],[Age]]&gt;45,"45+")</f>
        <v>36-45</v>
      </c>
      <c r="AL9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57" spans="1:38"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f>IF(HR_Data[[#This Row],[Attrition]]="Yes",1,0)</f>
        <v>0</v>
      </c>
      <c r="AK957" t="str">
        <f>_xlfn.IFS(AND(HR_Data[[#This Row],[Age]]&gt;=18,HR_Data[[#This Row],[Age]]&lt;=25),"18-25",AND(HR_Data[[#This Row],[Age]]&gt;=26,HR_Data[[#This Row],[Age]]&lt;=35),"26-35",AND(HR_Data[[#This Row],[Age]]&gt;=36,HR_Data[[#This Row],[Age]]&lt;=45),"36-45",HR_Data[[#This Row],[Age]]&gt;45,"45+")</f>
        <v>45+</v>
      </c>
      <c r="AL9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58" spans="1:38"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f>IF(HR_Data[[#This Row],[Attrition]]="Yes",1,0)</f>
        <v>0</v>
      </c>
      <c r="AK958" t="str">
        <f>_xlfn.IFS(AND(HR_Data[[#This Row],[Age]]&gt;=18,HR_Data[[#This Row],[Age]]&lt;=25),"18-25",AND(HR_Data[[#This Row],[Age]]&gt;=26,HR_Data[[#This Row],[Age]]&lt;=35),"26-35",AND(HR_Data[[#This Row],[Age]]&gt;=36,HR_Data[[#This Row],[Age]]&lt;=45),"36-45",HR_Data[[#This Row],[Age]]&gt;45,"45+")</f>
        <v>45+</v>
      </c>
      <c r="AL9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59" spans="1:38"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f>IF(HR_Data[[#This Row],[Attrition]]="Yes",1,0)</f>
        <v>0</v>
      </c>
      <c r="AK959" t="str">
        <f>_xlfn.IFS(AND(HR_Data[[#This Row],[Age]]&gt;=18,HR_Data[[#This Row],[Age]]&lt;=25),"18-25",AND(HR_Data[[#This Row],[Age]]&gt;=26,HR_Data[[#This Row],[Age]]&lt;=35),"26-35",AND(HR_Data[[#This Row],[Age]]&gt;=36,HR_Data[[#This Row],[Age]]&lt;=45),"36-45",HR_Data[[#This Row],[Age]]&gt;45,"45+")</f>
        <v>36-45</v>
      </c>
      <c r="AL9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60" spans="1:38"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f>IF(HR_Data[[#This Row],[Attrition]]="Yes",1,0)</f>
        <v>0</v>
      </c>
      <c r="AK960" t="str">
        <f>_xlfn.IFS(AND(HR_Data[[#This Row],[Age]]&gt;=18,HR_Data[[#This Row],[Age]]&lt;=25),"18-25",AND(HR_Data[[#This Row],[Age]]&gt;=26,HR_Data[[#This Row],[Age]]&lt;=35),"26-35",AND(HR_Data[[#This Row],[Age]]&gt;=36,HR_Data[[#This Row],[Age]]&lt;=45),"36-45",HR_Data[[#This Row],[Age]]&gt;45,"45+")</f>
        <v>26-35</v>
      </c>
      <c r="AL9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61" spans="1:38"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f>IF(HR_Data[[#This Row],[Attrition]]="Yes",1,0)</f>
        <v>0</v>
      </c>
      <c r="AK961" t="str">
        <f>_xlfn.IFS(AND(HR_Data[[#This Row],[Age]]&gt;=18,HR_Data[[#This Row],[Age]]&lt;=25),"18-25",AND(HR_Data[[#This Row],[Age]]&gt;=26,HR_Data[[#This Row],[Age]]&lt;=35),"26-35",AND(HR_Data[[#This Row],[Age]]&gt;=36,HR_Data[[#This Row],[Age]]&lt;=45),"36-45",HR_Data[[#This Row],[Age]]&gt;45,"45+")</f>
        <v>36-45</v>
      </c>
      <c r="AL9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62" spans="1:38"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f>IF(HR_Data[[#This Row],[Attrition]]="Yes",1,0)</f>
        <v>0</v>
      </c>
      <c r="AK962" t="str">
        <f>_xlfn.IFS(AND(HR_Data[[#This Row],[Age]]&gt;=18,HR_Data[[#This Row],[Age]]&lt;=25),"18-25",AND(HR_Data[[#This Row],[Age]]&gt;=26,HR_Data[[#This Row],[Age]]&lt;=35),"26-35",AND(HR_Data[[#This Row],[Age]]&gt;=36,HR_Data[[#This Row],[Age]]&lt;=45),"36-45",HR_Data[[#This Row],[Age]]&gt;45,"45+")</f>
        <v>36-45</v>
      </c>
      <c r="AL9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63" spans="1:38"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f>IF(HR_Data[[#This Row],[Attrition]]="Yes",1,0)</f>
        <v>0</v>
      </c>
      <c r="AK963" t="str">
        <f>_xlfn.IFS(AND(HR_Data[[#This Row],[Age]]&gt;=18,HR_Data[[#This Row],[Age]]&lt;=25),"18-25",AND(HR_Data[[#This Row],[Age]]&gt;=26,HR_Data[[#This Row],[Age]]&lt;=35),"26-35",AND(HR_Data[[#This Row],[Age]]&gt;=36,HR_Data[[#This Row],[Age]]&lt;=45),"36-45",HR_Data[[#This Row],[Age]]&gt;45,"45+")</f>
        <v>26-35</v>
      </c>
      <c r="AL9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64" spans="1:38"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f>IF(HR_Data[[#This Row],[Attrition]]="Yes",1,0)</f>
        <v>0</v>
      </c>
      <c r="AK964" t="str">
        <f>_xlfn.IFS(AND(HR_Data[[#This Row],[Age]]&gt;=18,HR_Data[[#This Row],[Age]]&lt;=25),"18-25",AND(HR_Data[[#This Row],[Age]]&gt;=26,HR_Data[[#This Row],[Age]]&lt;=35),"26-35",AND(HR_Data[[#This Row],[Age]]&gt;=36,HR_Data[[#This Row],[Age]]&lt;=45),"36-45",HR_Data[[#This Row],[Age]]&gt;45,"45+")</f>
        <v>45+</v>
      </c>
      <c r="AL9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65" spans="1:38"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f>IF(HR_Data[[#This Row],[Attrition]]="Yes",1,0)</f>
        <v>0</v>
      </c>
      <c r="AK965" t="str">
        <f>_xlfn.IFS(AND(HR_Data[[#This Row],[Age]]&gt;=18,HR_Data[[#This Row],[Age]]&lt;=25),"18-25",AND(HR_Data[[#This Row],[Age]]&gt;=26,HR_Data[[#This Row],[Age]]&lt;=35),"26-35",AND(HR_Data[[#This Row],[Age]]&gt;=36,HR_Data[[#This Row],[Age]]&lt;=45),"36-45",HR_Data[[#This Row],[Age]]&gt;45,"45+")</f>
        <v>36-45</v>
      </c>
      <c r="AL9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66" spans="1:38"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f>IF(HR_Data[[#This Row],[Attrition]]="Yes",1,0)</f>
        <v>0</v>
      </c>
      <c r="AK966" t="str">
        <f>_xlfn.IFS(AND(HR_Data[[#This Row],[Age]]&gt;=18,HR_Data[[#This Row],[Age]]&lt;=25),"18-25",AND(HR_Data[[#This Row],[Age]]&gt;=26,HR_Data[[#This Row],[Age]]&lt;=35),"26-35",AND(HR_Data[[#This Row],[Age]]&gt;=36,HR_Data[[#This Row],[Age]]&lt;=45),"36-45",HR_Data[[#This Row],[Age]]&gt;45,"45+")</f>
        <v>26-35</v>
      </c>
      <c r="AL9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67" spans="1:38"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f>IF(HR_Data[[#This Row],[Attrition]]="Yes",1,0)</f>
        <v>0</v>
      </c>
      <c r="AK967" t="str">
        <f>_xlfn.IFS(AND(HR_Data[[#This Row],[Age]]&gt;=18,HR_Data[[#This Row],[Age]]&lt;=25),"18-25",AND(HR_Data[[#This Row],[Age]]&gt;=26,HR_Data[[#This Row],[Age]]&lt;=35),"26-35",AND(HR_Data[[#This Row],[Age]]&gt;=36,HR_Data[[#This Row],[Age]]&lt;=45),"36-45",HR_Data[[#This Row],[Age]]&gt;45,"45+")</f>
        <v>18-25</v>
      </c>
      <c r="AL9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68" spans="1:38"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f>IF(HR_Data[[#This Row],[Attrition]]="Yes",1,0)</f>
        <v>1</v>
      </c>
      <c r="AK968" t="str">
        <f>_xlfn.IFS(AND(HR_Data[[#This Row],[Age]]&gt;=18,HR_Data[[#This Row],[Age]]&lt;=25),"18-25",AND(HR_Data[[#This Row],[Age]]&gt;=26,HR_Data[[#This Row],[Age]]&lt;=35),"26-35",AND(HR_Data[[#This Row],[Age]]&gt;=36,HR_Data[[#This Row],[Age]]&lt;=45),"36-45",HR_Data[[#This Row],[Age]]&gt;45,"45+")</f>
        <v>45+</v>
      </c>
      <c r="AL9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69" spans="1:38"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f>IF(HR_Data[[#This Row],[Attrition]]="Yes",1,0)</f>
        <v>0</v>
      </c>
      <c r="AK969" t="str">
        <f>_xlfn.IFS(AND(HR_Data[[#This Row],[Age]]&gt;=18,HR_Data[[#This Row],[Age]]&lt;=25),"18-25",AND(HR_Data[[#This Row],[Age]]&gt;=26,HR_Data[[#This Row],[Age]]&lt;=35),"26-35",AND(HR_Data[[#This Row],[Age]]&gt;=36,HR_Data[[#This Row],[Age]]&lt;=45),"36-45",HR_Data[[#This Row],[Age]]&gt;45,"45+")</f>
        <v>36-45</v>
      </c>
      <c r="AL9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70" spans="1:38"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f>IF(HR_Data[[#This Row],[Attrition]]="Yes",1,0)</f>
        <v>0</v>
      </c>
      <c r="AK970" t="str">
        <f>_xlfn.IFS(AND(HR_Data[[#This Row],[Age]]&gt;=18,HR_Data[[#This Row],[Age]]&lt;=25),"18-25",AND(HR_Data[[#This Row],[Age]]&gt;=26,HR_Data[[#This Row],[Age]]&lt;=35),"26-35",AND(HR_Data[[#This Row],[Age]]&gt;=36,HR_Data[[#This Row],[Age]]&lt;=45),"36-45",HR_Data[[#This Row],[Age]]&gt;45,"45+")</f>
        <v>36-45</v>
      </c>
      <c r="AL9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71" spans="1:38"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f>IF(HR_Data[[#This Row],[Attrition]]="Yes",1,0)</f>
        <v>0</v>
      </c>
      <c r="AK971" t="str">
        <f>_xlfn.IFS(AND(HR_Data[[#This Row],[Age]]&gt;=18,HR_Data[[#This Row],[Age]]&lt;=25),"18-25",AND(HR_Data[[#This Row],[Age]]&gt;=26,HR_Data[[#This Row],[Age]]&lt;=35),"26-35",AND(HR_Data[[#This Row],[Age]]&gt;=36,HR_Data[[#This Row],[Age]]&lt;=45),"36-45",HR_Data[[#This Row],[Age]]&gt;45,"45+")</f>
        <v>45+</v>
      </c>
      <c r="AL9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72" spans="1:38"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f>IF(HR_Data[[#This Row],[Attrition]]="Yes",1,0)</f>
        <v>0</v>
      </c>
      <c r="AK972" t="str">
        <f>_xlfn.IFS(AND(HR_Data[[#This Row],[Age]]&gt;=18,HR_Data[[#This Row],[Age]]&lt;=25),"18-25",AND(HR_Data[[#This Row],[Age]]&gt;=26,HR_Data[[#This Row],[Age]]&lt;=35),"26-35",AND(HR_Data[[#This Row],[Age]]&gt;=36,HR_Data[[#This Row],[Age]]&lt;=45),"36-45",HR_Data[[#This Row],[Age]]&gt;45,"45+")</f>
        <v>26-35</v>
      </c>
      <c r="AL9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73" spans="1:38"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f>IF(HR_Data[[#This Row],[Attrition]]="Yes",1,0)</f>
        <v>0</v>
      </c>
      <c r="AK973" t="str">
        <f>_xlfn.IFS(AND(HR_Data[[#This Row],[Age]]&gt;=18,HR_Data[[#This Row],[Age]]&lt;=25),"18-25",AND(HR_Data[[#This Row],[Age]]&gt;=26,HR_Data[[#This Row],[Age]]&lt;=35),"26-35",AND(HR_Data[[#This Row],[Age]]&gt;=36,HR_Data[[#This Row],[Age]]&lt;=45),"36-45",HR_Data[[#This Row],[Age]]&gt;45,"45+")</f>
        <v>45+</v>
      </c>
      <c r="AL9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74" spans="1:38"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f>IF(HR_Data[[#This Row],[Attrition]]="Yes",1,0)</f>
        <v>0</v>
      </c>
      <c r="AK974" t="str">
        <f>_xlfn.IFS(AND(HR_Data[[#This Row],[Age]]&gt;=18,HR_Data[[#This Row],[Age]]&lt;=25),"18-25",AND(HR_Data[[#This Row],[Age]]&gt;=26,HR_Data[[#This Row],[Age]]&lt;=35),"26-35",AND(HR_Data[[#This Row],[Age]]&gt;=36,HR_Data[[#This Row],[Age]]&lt;=45),"36-45",HR_Data[[#This Row],[Age]]&gt;45,"45+")</f>
        <v>18-25</v>
      </c>
      <c r="AL9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75" spans="1:38"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f>IF(HR_Data[[#This Row],[Attrition]]="Yes",1,0)</f>
        <v>0</v>
      </c>
      <c r="AK975" t="str">
        <f>_xlfn.IFS(AND(HR_Data[[#This Row],[Age]]&gt;=18,HR_Data[[#This Row],[Age]]&lt;=25),"18-25",AND(HR_Data[[#This Row],[Age]]&gt;=26,HR_Data[[#This Row],[Age]]&lt;=35),"26-35",AND(HR_Data[[#This Row],[Age]]&gt;=36,HR_Data[[#This Row],[Age]]&lt;=45),"36-45",HR_Data[[#This Row],[Age]]&gt;45,"45+")</f>
        <v>26-35</v>
      </c>
      <c r="AL9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76" spans="1:38"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f>IF(HR_Data[[#This Row],[Attrition]]="Yes",1,0)</f>
        <v>0</v>
      </c>
      <c r="AK976" t="str">
        <f>_xlfn.IFS(AND(HR_Data[[#This Row],[Age]]&gt;=18,HR_Data[[#This Row],[Age]]&lt;=25),"18-25",AND(HR_Data[[#This Row],[Age]]&gt;=26,HR_Data[[#This Row],[Age]]&lt;=35),"26-35",AND(HR_Data[[#This Row],[Age]]&gt;=36,HR_Data[[#This Row],[Age]]&lt;=45),"36-45",HR_Data[[#This Row],[Age]]&gt;45,"45+")</f>
        <v>26-35</v>
      </c>
      <c r="AL9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77" spans="1:38"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f>IF(HR_Data[[#This Row],[Attrition]]="Yes",1,0)</f>
        <v>1</v>
      </c>
      <c r="AK977" t="str">
        <f>_xlfn.IFS(AND(HR_Data[[#This Row],[Age]]&gt;=18,HR_Data[[#This Row],[Age]]&lt;=25),"18-25",AND(HR_Data[[#This Row],[Age]]&gt;=26,HR_Data[[#This Row],[Age]]&lt;=35),"26-35",AND(HR_Data[[#This Row],[Age]]&gt;=36,HR_Data[[#This Row],[Age]]&lt;=45),"36-45",HR_Data[[#This Row],[Age]]&gt;45,"45+")</f>
        <v>45+</v>
      </c>
      <c r="AL9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78" spans="1:38"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f>IF(HR_Data[[#This Row],[Attrition]]="Yes",1,0)</f>
        <v>0</v>
      </c>
      <c r="AK978" t="str">
        <f>_xlfn.IFS(AND(HR_Data[[#This Row],[Age]]&gt;=18,HR_Data[[#This Row],[Age]]&lt;=25),"18-25",AND(HR_Data[[#This Row],[Age]]&gt;=26,HR_Data[[#This Row],[Age]]&lt;=35),"26-35",AND(HR_Data[[#This Row],[Age]]&gt;=36,HR_Data[[#This Row],[Age]]&lt;=45),"36-45",HR_Data[[#This Row],[Age]]&gt;45,"45+")</f>
        <v>45+</v>
      </c>
      <c r="AL9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79" spans="1:38"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f>IF(HR_Data[[#This Row],[Attrition]]="Yes",1,0)</f>
        <v>0</v>
      </c>
      <c r="AK979" t="str">
        <f>_xlfn.IFS(AND(HR_Data[[#This Row],[Age]]&gt;=18,HR_Data[[#This Row],[Age]]&lt;=25),"18-25",AND(HR_Data[[#This Row],[Age]]&gt;=26,HR_Data[[#This Row],[Age]]&lt;=35),"26-35",AND(HR_Data[[#This Row],[Age]]&gt;=36,HR_Data[[#This Row],[Age]]&lt;=45),"36-45",HR_Data[[#This Row],[Age]]&gt;45,"45+")</f>
        <v>26-35</v>
      </c>
      <c r="AL9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80" spans="1:38"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f>IF(HR_Data[[#This Row],[Attrition]]="Yes",1,0)</f>
        <v>0</v>
      </c>
      <c r="AK980" t="str">
        <f>_xlfn.IFS(AND(HR_Data[[#This Row],[Age]]&gt;=18,HR_Data[[#This Row],[Age]]&lt;=25),"18-25",AND(HR_Data[[#This Row],[Age]]&gt;=26,HR_Data[[#This Row],[Age]]&lt;=35),"26-35",AND(HR_Data[[#This Row],[Age]]&gt;=36,HR_Data[[#This Row],[Age]]&lt;=45),"36-45",HR_Data[[#This Row],[Age]]&gt;45,"45+")</f>
        <v>36-45</v>
      </c>
      <c r="AL9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81" spans="1:38"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f>IF(HR_Data[[#This Row],[Attrition]]="Yes",1,0)</f>
        <v>0</v>
      </c>
      <c r="AK981" t="str">
        <f>_xlfn.IFS(AND(HR_Data[[#This Row],[Age]]&gt;=18,HR_Data[[#This Row],[Age]]&lt;=25),"18-25",AND(HR_Data[[#This Row],[Age]]&gt;=26,HR_Data[[#This Row],[Age]]&lt;=35),"26-35",AND(HR_Data[[#This Row],[Age]]&gt;=36,HR_Data[[#This Row],[Age]]&lt;=45),"36-45",HR_Data[[#This Row],[Age]]&gt;45,"45+")</f>
        <v>26-35</v>
      </c>
      <c r="AL9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82" spans="1:38"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f>IF(HR_Data[[#This Row],[Attrition]]="Yes",1,0)</f>
        <v>1</v>
      </c>
      <c r="AK982" t="str">
        <f>_xlfn.IFS(AND(HR_Data[[#This Row],[Age]]&gt;=18,HR_Data[[#This Row],[Age]]&lt;=25),"18-25",AND(HR_Data[[#This Row],[Age]]&gt;=26,HR_Data[[#This Row],[Age]]&lt;=35),"26-35",AND(HR_Data[[#This Row],[Age]]&gt;=36,HR_Data[[#This Row],[Age]]&lt;=45),"36-45",HR_Data[[#This Row],[Age]]&gt;45,"45+")</f>
        <v>26-35</v>
      </c>
      <c r="AL9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983" spans="1:38"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f>IF(HR_Data[[#This Row],[Attrition]]="Yes",1,0)</f>
        <v>1</v>
      </c>
      <c r="AK983" t="str">
        <f>_xlfn.IFS(AND(HR_Data[[#This Row],[Age]]&gt;=18,HR_Data[[#This Row],[Age]]&lt;=25),"18-25",AND(HR_Data[[#This Row],[Age]]&gt;=26,HR_Data[[#This Row],[Age]]&lt;=35),"26-35",AND(HR_Data[[#This Row],[Age]]&gt;=36,HR_Data[[#This Row],[Age]]&lt;=45),"36-45",HR_Data[[#This Row],[Age]]&gt;45,"45+")</f>
        <v>26-35</v>
      </c>
      <c r="AL9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84" spans="1:38"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f>IF(HR_Data[[#This Row],[Attrition]]="Yes",1,0)</f>
        <v>0</v>
      </c>
      <c r="AK984" t="str">
        <f>_xlfn.IFS(AND(HR_Data[[#This Row],[Age]]&gt;=18,HR_Data[[#This Row],[Age]]&lt;=25),"18-25",AND(HR_Data[[#This Row],[Age]]&gt;=26,HR_Data[[#This Row],[Age]]&lt;=35),"26-35",AND(HR_Data[[#This Row],[Age]]&gt;=36,HR_Data[[#This Row],[Age]]&lt;=45),"36-45",HR_Data[[#This Row],[Age]]&gt;45,"45+")</f>
        <v>36-45</v>
      </c>
      <c r="AL9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85" spans="1:38"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f>IF(HR_Data[[#This Row],[Attrition]]="Yes",1,0)</f>
        <v>0</v>
      </c>
      <c r="AK985" t="str">
        <f>_xlfn.IFS(AND(HR_Data[[#This Row],[Age]]&gt;=18,HR_Data[[#This Row],[Age]]&lt;=25),"18-25",AND(HR_Data[[#This Row],[Age]]&gt;=26,HR_Data[[#This Row],[Age]]&lt;=35),"26-35",AND(HR_Data[[#This Row],[Age]]&gt;=36,HR_Data[[#This Row],[Age]]&lt;=45),"36-45",HR_Data[[#This Row],[Age]]&gt;45,"45+")</f>
        <v>26-35</v>
      </c>
      <c r="AL9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86" spans="1:38"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f>IF(HR_Data[[#This Row],[Attrition]]="Yes",1,0)</f>
        <v>0</v>
      </c>
      <c r="AK986" t="str">
        <f>_xlfn.IFS(AND(HR_Data[[#This Row],[Age]]&gt;=18,HR_Data[[#This Row],[Age]]&lt;=25),"18-25",AND(HR_Data[[#This Row],[Age]]&gt;=26,HR_Data[[#This Row],[Age]]&lt;=35),"26-35",AND(HR_Data[[#This Row],[Age]]&gt;=36,HR_Data[[#This Row],[Age]]&lt;=45),"36-45",HR_Data[[#This Row],[Age]]&gt;45,"45+")</f>
        <v>26-35</v>
      </c>
      <c r="AL9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87" spans="1:38"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f>IF(HR_Data[[#This Row],[Attrition]]="Yes",1,0)</f>
        <v>1</v>
      </c>
      <c r="AK987" t="str">
        <f>_xlfn.IFS(AND(HR_Data[[#This Row],[Age]]&gt;=18,HR_Data[[#This Row],[Age]]&lt;=25),"18-25",AND(HR_Data[[#This Row],[Age]]&gt;=26,HR_Data[[#This Row],[Age]]&lt;=35),"26-35",AND(HR_Data[[#This Row],[Age]]&gt;=36,HR_Data[[#This Row],[Age]]&lt;=45),"36-45",HR_Data[[#This Row],[Age]]&gt;45,"45+")</f>
        <v>26-35</v>
      </c>
      <c r="AL9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88" spans="1:38"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f>IF(HR_Data[[#This Row],[Attrition]]="Yes",1,0)</f>
        <v>0</v>
      </c>
      <c r="AK988" t="str">
        <f>_xlfn.IFS(AND(HR_Data[[#This Row],[Age]]&gt;=18,HR_Data[[#This Row],[Age]]&lt;=25),"18-25",AND(HR_Data[[#This Row],[Age]]&gt;=26,HR_Data[[#This Row],[Age]]&lt;=35),"26-35",AND(HR_Data[[#This Row],[Age]]&gt;=36,HR_Data[[#This Row],[Age]]&lt;=45),"36-45",HR_Data[[#This Row],[Age]]&gt;45,"45+")</f>
        <v>36-45</v>
      </c>
      <c r="AL9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89" spans="1:38"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f>IF(HR_Data[[#This Row],[Attrition]]="Yes",1,0)</f>
        <v>0</v>
      </c>
      <c r="AK989" t="str">
        <f>_xlfn.IFS(AND(HR_Data[[#This Row],[Age]]&gt;=18,HR_Data[[#This Row],[Age]]&lt;=25),"18-25",AND(HR_Data[[#This Row],[Age]]&gt;=26,HR_Data[[#This Row],[Age]]&lt;=35),"26-35",AND(HR_Data[[#This Row],[Age]]&gt;=36,HR_Data[[#This Row],[Age]]&lt;=45),"36-45",HR_Data[[#This Row],[Age]]&gt;45,"45+")</f>
        <v>45+</v>
      </c>
      <c r="AL9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90" spans="1:38"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f>IF(HR_Data[[#This Row],[Attrition]]="Yes",1,0)</f>
        <v>0</v>
      </c>
      <c r="AK990" t="str">
        <f>_xlfn.IFS(AND(HR_Data[[#This Row],[Age]]&gt;=18,HR_Data[[#This Row],[Age]]&lt;=25),"18-25",AND(HR_Data[[#This Row],[Age]]&gt;=26,HR_Data[[#This Row],[Age]]&lt;=35),"26-35",AND(HR_Data[[#This Row],[Age]]&gt;=36,HR_Data[[#This Row],[Age]]&lt;=45),"36-45",HR_Data[[#This Row],[Age]]&gt;45,"45+")</f>
        <v>36-45</v>
      </c>
      <c r="AL9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91" spans="1:38"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f>IF(HR_Data[[#This Row],[Attrition]]="Yes",1,0)</f>
        <v>0</v>
      </c>
      <c r="AK991" t="str">
        <f>_xlfn.IFS(AND(HR_Data[[#This Row],[Age]]&gt;=18,HR_Data[[#This Row],[Age]]&lt;=25),"18-25",AND(HR_Data[[#This Row],[Age]]&gt;=26,HR_Data[[#This Row],[Age]]&lt;=35),"26-35",AND(HR_Data[[#This Row],[Age]]&gt;=36,HR_Data[[#This Row],[Age]]&lt;=45),"36-45",HR_Data[[#This Row],[Age]]&gt;45,"45+")</f>
        <v>36-45</v>
      </c>
      <c r="AL9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92" spans="1:38"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f>IF(HR_Data[[#This Row],[Attrition]]="Yes",1,0)</f>
        <v>0</v>
      </c>
      <c r="AK992" t="str">
        <f>_xlfn.IFS(AND(HR_Data[[#This Row],[Age]]&gt;=18,HR_Data[[#This Row],[Age]]&lt;=25),"18-25",AND(HR_Data[[#This Row],[Age]]&gt;=26,HR_Data[[#This Row],[Age]]&lt;=35),"26-35",AND(HR_Data[[#This Row],[Age]]&gt;=36,HR_Data[[#This Row],[Age]]&lt;=45),"36-45",HR_Data[[#This Row],[Age]]&gt;45,"45+")</f>
        <v>26-35</v>
      </c>
      <c r="AL9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93" spans="1:38"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f>IF(HR_Data[[#This Row],[Attrition]]="Yes",1,0)</f>
        <v>0</v>
      </c>
      <c r="AK993" t="str">
        <f>_xlfn.IFS(AND(HR_Data[[#This Row],[Age]]&gt;=18,HR_Data[[#This Row],[Age]]&lt;=25),"18-25",AND(HR_Data[[#This Row],[Age]]&gt;=26,HR_Data[[#This Row],[Age]]&lt;=35),"26-35",AND(HR_Data[[#This Row],[Age]]&gt;=36,HR_Data[[#This Row],[Age]]&lt;=45),"36-45",HR_Data[[#This Row],[Age]]&gt;45,"45+")</f>
        <v>26-35</v>
      </c>
      <c r="AL9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94" spans="1:38"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f>IF(HR_Data[[#This Row],[Attrition]]="Yes",1,0)</f>
        <v>0</v>
      </c>
      <c r="AK994" t="str">
        <f>_xlfn.IFS(AND(HR_Data[[#This Row],[Age]]&gt;=18,HR_Data[[#This Row],[Age]]&lt;=25),"18-25",AND(HR_Data[[#This Row],[Age]]&gt;=26,HR_Data[[#This Row],[Age]]&lt;=35),"26-35",AND(HR_Data[[#This Row],[Age]]&gt;=36,HR_Data[[#This Row],[Age]]&lt;=45),"36-45",HR_Data[[#This Row],[Age]]&gt;45,"45+")</f>
        <v>36-45</v>
      </c>
      <c r="AL9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95" spans="1:38"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f>IF(HR_Data[[#This Row],[Attrition]]="Yes",1,0)</f>
        <v>0</v>
      </c>
      <c r="AK995" t="str">
        <f>_xlfn.IFS(AND(HR_Data[[#This Row],[Age]]&gt;=18,HR_Data[[#This Row],[Age]]&lt;=25),"18-25",AND(HR_Data[[#This Row],[Age]]&gt;=26,HR_Data[[#This Row],[Age]]&lt;=35),"26-35",AND(HR_Data[[#This Row],[Age]]&gt;=36,HR_Data[[#This Row],[Age]]&lt;=45),"36-45",HR_Data[[#This Row],[Age]]&gt;45,"45+")</f>
        <v>18-25</v>
      </c>
      <c r="AL9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96" spans="1:38"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f>IF(HR_Data[[#This Row],[Attrition]]="Yes",1,0)</f>
        <v>0</v>
      </c>
      <c r="AK996" t="str">
        <f>_xlfn.IFS(AND(HR_Data[[#This Row],[Age]]&gt;=18,HR_Data[[#This Row],[Age]]&lt;=25),"18-25",AND(HR_Data[[#This Row],[Age]]&gt;=26,HR_Data[[#This Row],[Age]]&lt;=35),"26-35",AND(HR_Data[[#This Row],[Age]]&gt;=36,HR_Data[[#This Row],[Age]]&lt;=45),"36-45",HR_Data[[#This Row],[Age]]&gt;45,"45+")</f>
        <v>45+</v>
      </c>
      <c r="AL9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997" spans="1:38"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f>IF(HR_Data[[#This Row],[Attrition]]="Yes",1,0)</f>
        <v>0</v>
      </c>
      <c r="AK997" t="str">
        <f>_xlfn.IFS(AND(HR_Data[[#This Row],[Age]]&gt;=18,HR_Data[[#This Row],[Age]]&lt;=25),"18-25",AND(HR_Data[[#This Row],[Age]]&gt;=26,HR_Data[[#This Row],[Age]]&lt;=35),"26-35",AND(HR_Data[[#This Row],[Age]]&gt;=36,HR_Data[[#This Row],[Age]]&lt;=45),"36-45",HR_Data[[#This Row],[Age]]&gt;45,"45+")</f>
        <v>36-45</v>
      </c>
      <c r="AL9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998" spans="1:38"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f>IF(HR_Data[[#This Row],[Attrition]]="Yes",1,0)</f>
        <v>0</v>
      </c>
      <c r="AK998" t="str">
        <f>_xlfn.IFS(AND(HR_Data[[#This Row],[Age]]&gt;=18,HR_Data[[#This Row],[Age]]&lt;=25),"18-25",AND(HR_Data[[#This Row],[Age]]&gt;=26,HR_Data[[#This Row],[Age]]&lt;=35),"26-35",AND(HR_Data[[#This Row],[Age]]&gt;=36,HR_Data[[#This Row],[Age]]&lt;=45),"36-45",HR_Data[[#This Row],[Age]]&gt;45,"45+")</f>
        <v>26-35</v>
      </c>
      <c r="AL9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999" spans="1:38"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f>IF(HR_Data[[#This Row],[Attrition]]="Yes",1,0)</f>
        <v>1</v>
      </c>
      <c r="AK999" t="str">
        <f>_xlfn.IFS(AND(HR_Data[[#This Row],[Age]]&gt;=18,HR_Data[[#This Row],[Age]]&lt;=25),"18-25",AND(HR_Data[[#This Row],[Age]]&gt;=26,HR_Data[[#This Row],[Age]]&lt;=35),"26-35",AND(HR_Data[[#This Row],[Age]]&gt;=36,HR_Data[[#This Row],[Age]]&lt;=45),"36-45",HR_Data[[#This Row],[Age]]&gt;45,"45+")</f>
        <v>26-35</v>
      </c>
      <c r="AL9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00" spans="1:38"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f>IF(HR_Data[[#This Row],[Attrition]]="Yes",1,0)</f>
        <v>0</v>
      </c>
      <c r="AK1000" t="str">
        <f>_xlfn.IFS(AND(HR_Data[[#This Row],[Age]]&gt;=18,HR_Data[[#This Row],[Age]]&lt;=25),"18-25",AND(HR_Data[[#This Row],[Age]]&gt;=26,HR_Data[[#This Row],[Age]]&lt;=35),"26-35",AND(HR_Data[[#This Row],[Age]]&gt;=36,HR_Data[[#This Row],[Age]]&lt;=45),"36-45",HR_Data[[#This Row],[Age]]&gt;45,"45+")</f>
        <v>26-35</v>
      </c>
      <c r="AL10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01" spans="1:38"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f>IF(HR_Data[[#This Row],[Attrition]]="Yes",1,0)</f>
        <v>0</v>
      </c>
      <c r="AK1001" t="str">
        <f>_xlfn.IFS(AND(HR_Data[[#This Row],[Age]]&gt;=18,HR_Data[[#This Row],[Age]]&lt;=25),"18-25",AND(HR_Data[[#This Row],[Age]]&gt;=26,HR_Data[[#This Row],[Age]]&lt;=35),"26-35",AND(HR_Data[[#This Row],[Age]]&gt;=36,HR_Data[[#This Row],[Age]]&lt;=45),"36-45",HR_Data[[#This Row],[Age]]&gt;45,"45+")</f>
        <v>36-45</v>
      </c>
      <c r="AL10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02" spans="1:38"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f>IF(HR_Data[[#This Row],[Attrition]]="Yes",1,0)</f>
        <v>0</v>
      </c>
      <c r="AK1002" t="str">
        <f>_xlfn.IFS(AND(HR_Data[[#This Row],[Age]]&gt;=18,HR_Data[[#This Row],[Age]]&lt;=25),"18-25",AND(HR_Data[[#This Row],[Age]]&gt;=26,HR_Data[[#This Row],[Age]]&lt;=35),"26-35",AND(HR_Data[[#This Row],[Age]]&gt;=36,HR_Data[[#This Row],[Age]]&lt;=45),"36-45",HR_Data[[#This Row],[Age]]&gt;45,"45+")</f>
        <v>45+</v>
      </c>
      <c r="AL10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03" spans="1:38"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f>IF(HR_Data[[#This Row],[Attrition]]="Yes",1,0)</f>
        <v>0</v>
      </c>
      <c r="AK1003" t="str">
        <f>_xlfn.IFS(AND(HR_Data[[#This Row],[Age]]&gt;=18,HR_Data[[#This Row],[Age]]&lt;=25),"18-25",AND(HR_Data[[#This Row],[Age]]&gt;=26,HR_Data[[#This Row],[Age]]&lt;=35),"26-35",AND(HR_Data[[#This Row],[Age]]&gt;=36,HR_Data[[#This Row],[Age]]&lt;=45),"36-45",HR_Data[[#This Row],[Age]]&gt;45,"45+")</f>
        <v>36-45</v>
      </c>
      <c r="AL10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04" spans="1:38"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f>IF(HR_Data[[#This Row],[Attrition]]="Yes",1,0)</f>
        <v>0</v>
      </c>
      <c r="AK1004" t="str">
        <f>_xlfn.IFS(AND(HR_Data[[#This Row],[Age]]&gt;=18,HR_Data[[#This Row],[Age]]&lt;=25),"18-25",AND(HR_Data[[#This Row],[Age]]&gt;=26,HR_Data[[#This Row],[Age]]&lt;=35),"26-35",AND(HR_Data[[#This Row],[Age]]&gt;=36,HR_Data[[#This Row],[Age]]&lt;=45),"36-45",HR_Data[[#This Row],[Age]]&gt;45,"45+")</f>
        <v>26-35</v>
      </c>
      <c r="AL10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05" spans="1:38"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f>IF(HR_Data[[#This Row],[Attrition]]="Yes",1,0)</f>
        <v>0</v>
      </c>
      <c r="AK1005" t="str">
        <f>_xlfn.IFS(AND(HR_Data[[#This Row],[Age]]&gt;=18,HR_Data[[#This Row],[Age]]&lt;=25),"18-25",AND(HR_Data[[#This Row],[Age]]&gt;=26,HR_Data[[#This Row],[Age]]&lt;=35),"26-35",AND(HR_Data[[#This Row],[Age]]&gt;=36,HR_Data[[#This Row],[Age]]&lt;=45),"36-45",HR_Data[[#This Row],[Age]]&gt;45,"45+")</f>
        <v>18-25</v>
      </c>
      <c r="AL10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06" spans="1:38"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f>IF(HR_Data[[#This Row],[Attrition]]="Yes",1,0)</f>
        <v>0</v>
      </c>
      <c r="AK1006" t="str">
        <f>_xlfn.IFS(AND(HR_Data[[#This Row],[Age]]&gt;=18,HR_Data[[#This Row],[Age]]&lt;=25),"18-25",AND(HR_Data[[#This Row],[Age]]&gt;=26,HR_Data[[#This Row],[Age]]&lt;=35),"26-35",AND(HR_Data[[#This Row],[Age]]&gt;=36,HR_Data[[#This Row],[Age]]&lt;=45),"36-45",HR_Data[[#This Row],[Age]]&gt;45,"45+")</f>
        <v>26-35</v>
      </c>
      <c r="AL10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07" spans="1:38"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f>IF(HR_Data[[#This Row],[Attrition]]="Yes",1,0)</f>
        <v>0</v>
      </c>
      <c r="AK1007" t="str">
        <f>_xlfn.IFS(AND(HR_Data[[#This Row],[Age]]&gt;=18,HR_Data[[#This Row],[Age]]&lt;=25),"18-25",AND(HR_Data[[#This Row],[Age]]&gt;=26,HR_Data[[#This Row],[Age]]&lt;=35),"26-35",AND(HR_Data[[#This Row],[Age]]&gt;=36,HR_Data[[#This Row],[Age]]&lt;=45),"36-45",HR_Data[[#This Row],[Age]]&gt;45,"45+")</f>
        <v>26-35</v>
      </c>
      <c r="AL10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08" spans="1:38"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f>IF(HR_Data[[#This Row],[Attrition]]="Yes",1,0)</f>
        <v>1</v>
      </c>
      <c r="AK1008" t="str">
        <f>_xlfn.IFS(AND(HR_Data[[#This Row],[Age]]&gt;=18,HR_Data[[#This Row],[Age]]&lt;=25),"18-25",AND(HR_Data[[#This Row],[Age]]&gt;=26,HR_Data[[#This Row],[Age]]&lt;=35),"26-35",AND(HR_Data[[#This Row],[Age]]&gt;=36,HR_Data[[#This Row],[Age]]&lt;=45),"36-45",HR_Data[[#This Row],[Age]]&gt;45,"45+")</f>
        <v>45+</v>
      </c>
      <c r="AL10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09" spans="1:38"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f>IF(HR_Data[[#This Row],[Attrition]]="Yes",1,0)</f>
        <v>1</v>
      </c>
      <c r="AK1009" t="str">
        <f>_xlfn.IFS(AND(HR_Data[[#This Row],[Age]]&gt;=18,HR_Data[[#This Row],[Age]]&lt;=25),"18-25",AND(HR_Data[[#This Row],[Age]]&gt;=26,HR_Data[[#This Row],[Age]]&lt;=35),"26-35",AND(HR_Data[[#This Row],[Age]]&gt;=36,HR_Data[[#This Row],[Age]]&lt;=45),"36-45",HR_Data[[#This Row],[Age]]&gt;45,"45+")</f>
        <v>26-35</v>
      </c>
      <c r="AL10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10" spans="1:38"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f>IF(HR_Data[[#This Row],[Attrition]]="Yes",1,0)</f>
        <v>0</v>
      </c>
      <c r="AK1010" t="str">
        <f>_xlfn.IFS(AND(HR_Data[[#This Row],[Age]]&gt;=18,HR_Data[[#This Row],[Age]]&lt;=25),"18-25",AND(HR_Data[[#This Row],[Age]]&gt;=26,HR_Data[[#This Row],[Age]]&lt;=35),"26-35",AND(HR_Data[[#This Row],[Age]]&gt;=36,HR_Data[[#This Row],[Age]]&lt;=45),"36-45",HR_Data[[#This Row],[Age]]&gt;45,"45+")</f>
        <v>45+</v>
      </c>
      <c r="AL10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11" spans="1:38"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f>IF(HR_Data[[#This Row],[Attrition]]="Yes",1,0)</f>
        <v>0</v>
      </c>
      <c r="AK1011" t="str">
        <f>_xlfn.IFS(AND(HR_Data[[#This Row],[Age]]&gt;=18,HR_Data[[#This Row],[Age]]&lt;=25),"18-25",AND(HR_Data[[#This Row],[Age]]&gt;=26,HR_Data[[#This Row],[Age]]&lt;=35),"26-35",AND(HR_Data[[#This Row],[Age]]&gt;=36,HR_Data[[#This Row],[Age]]&lt;=45),"36-45",HR_Data[[#This Row],[Age]]&gt;45,"45+")</f>
        <v>45+</v>
      </c>
      <c r="AL10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12" spans="1:38"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f>IF(HR_Data[[#This Row],[Attrition]]="Yes",1,0)</f>
        <v>0</v>
      </c>
      <c r="AK1012" t="str">
        <f>_xlfn.IFS(AND(HR_Data[[#This Row],[Age]]&gt;=18,HR_Data[[#This Row],[Age]]&lt;=25),"18-25",AND(HR_Data[[#This Row],[Age]]&gt;=26,HR_Data[[#This Row],[Age]]&lt;=35),"26-35",AND(HR_Data[[#This Row],[Age]]&gt;=36,HR_Data[[#This Row],[Age]]&lt;=45),"36-45",HR_Data[[#This Row],[Age]]&gt;45,"45+")</f>
        <v>45+</v>
      </c>
      <c r="AL10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13" spans="1:38"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f>IF(HR_Data[[#This Row],[Attrition]]="Yes",1,0)</f>
        <v>0</v>
      </c>
      <c r="AK1013" t="str">
        <f>_xlfn.IFS(AND(HR_Data[[#This Row],[Age]]&gt;=18,HR_Data[[#This Row],[Age]]&lt;=25),"18-25",AND(HR_Data[[#This Row],[Age]]&gt;=26,HR_Data[[#This Row],[Age]]&lt;=35),"26-35",AND(HR_Data[[#This Row],[Age]]&gt;=36,HR_Data[[#This Row],[Age]]&lt;=45),"36-45",HR_Data[[#This Row],[Age]]&gt;45,"45+")</f>
        <v>36-45</v>
      </c>
      <c r="AL10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14" spans="1:38"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f>IF(HR_Data[[#This Row],[Attrition]]="Yes",1,0)</f>
        <v>1</v>
      </c>
      <c r="AK1014" t="str">
        <f>_xlfn.IFS(AND(HR_Data[[#This Row],[Age]]&gt;=18,HR_Data[[#This Row],[Age]]&lt;=25),"18-25",AND(HR_Data[[#This Row],[Age]]&gt;=26,HR_Data[[#This Row],[Age]]&lt;=35),"26-35",AND(HR_Data[[#This Row],[Age]]&gt;=36,HR_Data[[#This Row],[Age]]&lt;=45),"36-45",HR_Data[[#This Row],[Age]]&gt;45,"45+")</f>
        <v>26-35</v>
      </c>
      <c r="AL10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15" spans="1:38"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f>IF(HR_Data[[#This Row],[Attrition]]="Yes",1,0)</f>
        <v>0</v>
      </c>
      <c r="AK1015" t="str">
        <f>_xlfn.IFS(AND(HR_Data[[#This Row],[Age]]&gt;=18,HR_Data[[#This Row],[Age]]&lt;=25),"18-25",AND(HR_Data[[#This Row],[Age]]&gt;=26,HR_Data[[#This Row],[Age]]&lt;=35),"26-35",AND(HR_Data[[#This Row],[Age]]&gt;=36,HR_Data[[#This Row],[Age]]&lt;=45),"36-45",HR_Data[[#This Row],[Age]]&gt;45,"45+")</f>
        <v>26-35</v>
      </c>
      <c r="AL10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16" spans="1:38"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f>IF(HR_Data[[#This Row],[Attrition]]="Yes",1,0)</f>
        <v>0</v>
      </c>
      <c r="AK1016" t="str">
        <f>_xlfn.IFS(AND(HR_Data[[#This Row],[Age]]&gt;=18,HR_Data[[#This Row],[Age]]&lt;=25),"18-25",AND(HR_Data[[#This Row],[Age]]&gt;=26,HR_Data[[#This Row],[Age]]&lt;=35),"26-35",AND(HR_Data[[#This Row],[Age]]&gt;=36,HR_Data[[#This Row],[Age]]&lt;=45),"36-45",HR_Data[[#This Row],[Age]]&gt;45,"45+")</f>
        <v>26-35</v>
      </c>
      <c r="AL10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17" spans="1:38"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f>IF(HR_Data[[#This Row],[Attrition]]="Yes",1,0)</f>
        <v>0</v>
      </c>
      <c r="AK1017" t="str">
        <f>_xlfn.IFS(AND(HR_Data[[#This Row],[Age]]&gt;=18,HR_Data[[#This Row],[Age]]&lt;=25),"18-25",AND(HR_Data[[#This Row],[Age]]&gt;=26,HR_Data[[#This Row],[Age]]&lt;=35),"26-35",AND(HR_Data[[#This Row],[Age]]&gt;=36,HR_Data[[#This Row],[Age]]&lt;=45),"36-45",HR_Data[[#This Row],[Age]]&gt;45,"45+")</f>
        <v>26-35</v>
      </c>
      <c r="AL10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18" spans="1:38"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f>IF(HR_Data[[#This Row],[Attrition]]="Yes",1,0)</f>
        <v>1</v>
      </c>
      <c r="AK1018" t="str">
        <f>_xlfn.IFS(AND(HR_Data[[#This Row],[Age]]&gt;=18,HR_Data[[#This Row],[Age]]&lt;=25),"18-25",AND(HR_Data[[#This Row],[Age]]&gt;=26,HR_Data[[#This Row],[Age]]&lt;=35),"26-35",AND(HR_Data[[#This Row],[Age]]&gt;=36,HR_Data[[#This Row],[Age]]&lt;=45),"36-45",HR_Data[[#This Row],[Age]]&gt;45,"45+")</f>
        <v>26-35</v>
      </c>
      <c r="AL10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19" spans="1:38"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f>IF(HR_Data[[#This Row],[Attrition]]="Yes",1,0)</f>
        <v>0</v>
      </c>
      <c r="AK1019" t="str">
        <f>_xlfn.IFS(AND(HR_Data[[#This Row],[Age]]&gt;=18,HR_Data[[#This Row],[Age]]&lt;=25),"18-25",AND(HR_Data[[#This Row],[Age]]&gt;=26,HR_Data[[#This Row],[Age]]&lt;=35),"26-35",AND(HR_Data[[#This Row],[Age]]&gt;=36,HR_Data[[#This Row],[Age]]&lt;=45),"36-45",HR_Data[[#This Row],[Age]]&gt;45,"45+")</f>
        <v>26-35</v>
      </c>
      <c r="AL10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20" spans="1:38"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f>IF(HR_Data[[#This Row],[Attrition]]="Yes",1,0)</f>
        <v>0</v>
      </c>
      <c r="AK1020" t="str">
        <f>_xlfn.IFS(AND(HR_Data[[#This Row],[Age]]&gt;=18,HR_Data[[#This Row],[Age]]&lt;=25),"18-25",AND(HR_Data[[#This Row],[Age]]&gt;=26,HR_Data[[#This Row],[Age]]&lt;=35),"26-35",AND(HR_Data[[#This Row],[Age]]&gt;=36,HR_Data[[#This Row],[Age]]&lt;=45),"36-45",HR_Data[[#This Row],[Age]]&gt;45,"45+")</f>
        <v>36-45</v>
      </c>
      <c r="AL10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21" spans="1:38"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f>IF(HR_Data[[#This Row],[Attrition]]="Yes",1,0)</f>
        <v>0</v>
      </c>
      <c r="AK1021" t="str">
        <f>_xlfn.IFS(AND(HR_Data[[#This Row],[Age]]&gt;=18,HR_Data[[#This Row],[Age]]&lt;=25),"18-25",AND(HR_Data[[#This Row],[Age]]&gt;=26,HR_Data[[#This Row],[Age]]&lt;=35),"26-35",AND(HR_Data[[#This Row],[Age]]&gt;=36,HR_Data[[#This Row],[Age]]&lt;=45),"36-45",HR_Data[[#This Row],[Age]]&gt;45,"45+")</f>
        <v>36-45</v>
      </c>
      <c r="AL10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22" spans="1:38"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f>IF(HR_Data[[#This Row],[Attrition]]="Yes",1,0)</f>
        <v>0</v>
      </c>
      <c r="AK1022" t="str">
        <f>_xlfn.IFS(AND(HR_Data[[#This Row],[Age]]&gt;=18,HR_Data[[#This Row],[Age]]&lt;=25),"18-25",AND(HR_Data[[#This Row],[Age]]&gt;=26,HR_Data[[#This Row],[Age]]&lt;=35),"26-35",AND(HR_Data[[#This Row],[Age]]&gt;=36,HR_Data[[#This Row],[Age]]&lt;=45),"36-45",HR_Data[[#This Row],[Age]]&gt;45,"45+")</f>
        <v>45+</v>
      </c>
      <c r="AL10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23" spans="1:38"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f>IF(HR_Data[[#This Row],[Attrition]]="Yes",1,0)</f>
        <v>1</v>
      </c>
      <c r="AK1023" t="str">
        <f>_xlfn.IFS(AND(HR_Data[[#This Row],[Age]]&gt;=18,HR_Data[[#This Row],[Age]]&lt;=25),"18-25",AND(HR_Data[[#This Row],[Age]]&gt;=26,HR_Data[[#This Row],[Age]]&lt;=35),"26-35",AND(HR_Data[[#This Row],[Age]]&gt;=36,HR_Data[[#This Row],[Age]]&lt;=45),"36-45",HR_Data[[#This Row],[Age]]&gt;45,"45+")</f>
        <v>18-25</v>
      </c>
      <c r="AL10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24" spans="1:38"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f>IF(HR_Data[[#This Row],[Attrition]]="Yes",1,0)</f>
        <v>0</v>
      </c>
      <c r="AK1024" t="str">
        <f>_xlfn.IFS(AND(HR_Data[[#This Row],[Age]]&gt;=18,HR_Data[[#This Row],[Age]]&lt;=25),"18-25",AND(HR_Data[[#This Row],[Age]]&gt;=26,HR_Data[[#This Row],[Age]]&lt;=35),"26-35",AND(HR_Data[[#This Row],[Age]]&gt;=36,HR_Data[[#This Row],[Age]]&lt;=45),"36-45",HR_Data[[#This Row],[Age]]&gt;45,"45+")</f>
        <v>36-45</v>
      </c>
      <c r="AL10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25" spans="1:38"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f>IF(HR_Data[[#This Row],[Attrition]]="Yes",1,0)</f>
        <v>0</v>
      </c>
      <c r="AK1025" t="str">
        <f>_xlfn.IFS(AND(HR_Data[[#This Row],[Age]]&gt;=18,HR_Data[[#This Row],[Age]]&lt;=25),"18-25",AND(HR_Data[[#This Row],[Age]]&gt;=26,HR_Data[[#This Row],[Age]]&lt;=35),"26-35",AND(HR_Data[[#This Row],[Age]]&gt;=36,HR_Data[[#This Row],[Age]]&lt;=45),"36-45",HR_Data[[#This Row],[Age]]&gt;45,"45+")</f>
        <v>45+</v>
      </c>
      <c r="AL10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26" spans="1:38"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f>IF(HR_Data[[#This Row],[Attrition]]="Yes",1,0)</f>
        <v>0</v>
      </c>
      <c r="AK1026" t="str">
        <f>_xlfn.IFS(AND(HR_Data[[#This Row],[Age]]&gt;=18,HR_Data[[#This Row],[Age]]&lt;=25),"18-25",AND(HR_Data[[#This Row],[Age]]&gt;=26,HR_Data[[#This Row],[Age]]&lt;=35),"26-35",AND(HR_Data[[#This Row],[Age]]&gt;=36,HR_Data[[#This Row],[Age]]&lt;=45),"36-45",HR_Data[[#This Row],[Age]]&gt;45,"45+")</f>
        <v>45+</v>
      </c>
      <c r="AL10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27" spans="1:38"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f>IF(HR_Data[[#This Row],[Attrition]]="Yes",1,0)</f>
        <v>0</v>
      </c>
      <c r="AK1027" t="str">
        <f>_xlfn.IFS(AND(HR_Data[[#This Row],[Age]]&gt;=18,HR_Data[[#This Row],[Age]]&lt;=25),"18-25",AND(HR_Data[[#This Row],[Age]]&gt;=26,HR_Data[[#This Row],[Age]]&lt;=35),"26-35",AND(HR_Data[[#This Row],[Age]]&gt;=36,HR_Data[[#This Row],[Age]]&lt;=45),"36-45",HR_Data[[#This Row],[Age]]&gt;45,"45+")</f>
        <v>18-25</v>
      </c>
      <c r="AL10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28" spans="1:38"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f>IF(HR_Data[[#This Row],[Attrition]]="Yes",1,0)</f>
        <v>0</v>
      </c>
      <c r="AK1028" t="str">
        <f>_xlfn.IFS(AND(HR_Data[[#This Row],[Age]]&gt;=18,HR_Data[[#This Row],[Age]]&lt;=25),"18-25",AND(HR_Data[[#This Row],[Age]]&gt;=26,HR_Data[[#This Row],[Age]]&lt;=35),"26-35",AND(HR_Data[[#This Row],[Age]]&gt;=36,HR_Data[[#This Row],[Age]]&lt;=45),"36-45",HR_Data[[#This Row],[Age]]&gt;45,"45+")</f>
        <v>26-35</v>
      </c>
      <c r="AL10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29" spans="1:38"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f>IF(HR_Data[[#This Row],[Attrition]]="Yes",1,0)</f>
        <v>0</v>
      </c>
      <c r="AK1029" t="str">
        <f>_xlfn.IFS(AND(HR_Data[[#This Row],[Age]]&gt;=18,HR_Data[[#This Row],[Age]]&lt;=25),"18-25",AND(HR_Data[[#This Row],[Age]]&gt;=26,HR_Data[[#This Row],[Age]]&lt;=35),"26-35",AND(HR_Data[[#This Row],[Age]]&gt;=36,HR_Data[[#This Row],[Age]]&lt;=45),"36-45",HR_Data[[#This Row],[Age]]&gt;45,"45+")</f>
        <v>26-35</v>
      </c>
      <c r="AL10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30" spans="1:38"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f>IF(HR_Data[[#This Row],[Attrition]]="Yes",1,0)</f>
        <v>0</v>
      </c>
      <c r="AK1030" t="str">
        <f>_xlfn.IFS(AND(HR_Data[[#This Row],[Age]]&gt;=18,HR_Data[[#This Row],[Age]]&lt;=25),"18-25",AND(HR_Data[[#This Row],[Age]]&gt;=26,HR_Data[[#This Row],[Age]]&lt;=35),"26-35",AND(HR_Data[[#This Row],[Age]]&gt;=36,HR_Data[[#This Row],[Age]]&lt;=45),"36-45",HR_Data[[#This Row],[Age]]&gt;45,"45+")</f>
        <v>36-45</v>
      </c>
      <c r="AL10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31" spans="1:38"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f>IF(HR_Data[[#This Row],[Attrition]]="Yes",1,0)</f>
        <v>0</v>
      </c>
      <c r="AK1031" t="str">
        <f>_xlfn.IFS(AND(HR_Data[[#This Row],[Age]]&gt;=18,HR_Data[[#This Row],[Age]]&lt;=25),"18-25",AND(HR_Data[[#This Row],[Age]]&gt;=26,HR_Data[[#This Row],[Age]]&lt;=35),"26-35",AND(HR_Data[[#This Row],[Age]]&gt;=36,HR_Data[[#This Row],[Age]]&lt;=45),"36-45",HR_Data[[#This Row],[Age]]&gt;45,"45+")</f>
        <v>36-45</v>
      </c>
      <c r="AL10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32" spans="1:38"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f>IF(HR_Data[[#This Row],[Attrition]]="Yes",1,0)</f>
        <v>0</v>
      </c>
      <c r="AK1032" t="str">
        <f>_xlfn.IFS(AND(HR_Data[[#This Row],[Age]]&gt;=18,HR_Data[[#This Row],[Age]]&lt;=25),"18-25",AND(HR_Data[[#This Row],[Age]]&gt;=26,HR_Data[[#This Row],[Age]]&lt;=35),"26-35",AND(HR_Data[[#This Row],[Age]]&gt;=36,HR_Data[[#This Row],[Age]]&lt;=45),"36-45",HR_Data[[#This Row],[Age]]&gt;45,"45+")</f>
        <v>26-35</v>
      </c>
      <c r="AL10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33" spans="1:38"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f>IF(HR_Data[[#This Row],[Attrition]]="Yes",1,0)</f>
        <v>1</v>
      </c>
      <c r="AK1033" t="str">
        <f>_xlfn.IFS(AND(HR_Data[[#This Row],[Age]]&gt;=18,HR_Data[[#This Row],[Age]]&lt;=25),"18-25",AND(HR_Data[[#This Row],[Age]]&gt;=26,HR_Data[[#This Row],[Age]]&lt;=35),"26-35",AND(HR_Data[[#This Row],[Age]]&gt;=36,HR_Data[[#This Row],[Age]]&lt;=45),"36-45",HR_Data[[#This Row],[Age]]&gt;45,"45+")</f>
        <v>45+</v>
      </c>
      <c r="AL10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34" spans="1:38"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f>IF(HR_Data[[#This Row],[Attrition]]="Yes",1,0)</f>
        <v>1</v>
      </c>
      <c r="AK1034" t="str">
        <f>_xlfn.IFS(AND(HR_Data[[#This Row],[Age]]&gt;=18,HR_Data[[#This Row],[Age]]&lt;=25),"18-25",AND(HR_Data[[#This Row],[Age]]&gt;=26,HR_Data[[#This Row],[Age]]&lt;=35),"26-35",AND(HR_Data[[#This Row],[Age]]&gt;=36,HR_Data[[#This Row],[Age]]&lt;=45),"36-45",HR_Data[[#This Row],[Age]]&gt;45,"45+")</f>
        <v>36-45</v>
      </c>
      <c r="AL10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35" spans="1:38"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f>IF(HR_Data[[#This Row],[Attrition]]="Yes",1,0)</f>
        <v>1</v>
      </c>
      <c r="AK1035" t="str">
        <f>_xlfn.IFS(AND(HR_Data[[#This Row],[Age]]&gt;=18,HR_Data[[#This Row],[Age]]&lt;=25),"18-25",AND(HR_Data[[#This Row],[Age]]&gt;=26,HR_Data[[#This Row],[Age]]&lt;=35),"26-35",AND(HR_Data[[#This Row],[Age]]&gt;=36,HR_Data[[#This Row],[Age]]&lt;=45),"36-45",HR_Data[[#This Row],[Age]]&gt;45,"45+")</f>
        <v>26-35</v>
      </c>
      <c r="AL10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36" spans="1:38"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f>IF(HR_Data[[#This Row],[Attrition]]="Yes",1,0)</f>
        <v>0</v>
      </c>
      <c r="AK1036" t="str">
        <f>_xlfn.IFS(AND(HR_Data[[#This Row],[Age]]&gt;=18,HR_Data[[#This Row],[Age]]&lt;=25),"18-25",AND(HR_Data[[#This Row],[Age]]&gt;=26,HR_Data[[#This Row],[Age]]&lt;=35),"26-35",AND(HR_Data[[#This Row],[Age]]&gt;=36,HR_Data[[#This Row],[Age]]&lt;=45),"36-45",HR_Data[[#This Row],[Age]]&gt;45,"45+")</f>
        <v>36-45</v>
      </c>
      <c r="AL10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37" spans="1:38"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f>IF(HR_Data[[#This Row],[Attrition]]="Yes",1,0)</f>
        <v>0</v>
      </c>
      <c r="AK1037" t="str">
        <f>_xlfn.IFS(AND(HR_Data[[#This Row],[Age]]&gt;=18,HR_Data[[#This Row],[Age]]&lt;=25),"18-25",AND(HR_Data[[#This Row],[Age]]&gt;=26,HR_Data[[#This Row],[Age]]&lt;=35),"26-35",AND(HR_Data[[#This Row],[Age]]&gt;=36,HR_Data[[#This Row],[Age]]&lt;=45),"36-45",HR_Data[[#This Row],[Age]]&gt;45,"45+")</f>
        <v>26-35</v>
      </c>
      <c r="AL10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38" spans="1:38"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f>IF(HR_Data[[#This Row],[Attrition]]="Yes",1,0)</f>
        <v>1</v>
      </c>
      <c r="AK1038" t="str">
        <f>_xlfn.IFS(AND(HR_Data[[#This Row],[Age]]&gt;=18,HR_Data[[#This Row],[Age]]&lt;=25),"18-25",AND(HR_Data[[#This Row],[Age]]&gt;=26,HR_Data[[#This Row],[Age]]&lt;=35),"26-35",AND(HR_Data[[#This Row],[Age]]&gt;=36,HR_Data[[#This Row],[Age]]&lt;=45),"36-45",HR_Data[[#This Row],[Age]]&gt;45,"45+")</f>
        <v>26-35</v>
      </c>
      <c r="AL10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39" spans="1:38"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f>IF(HR_Data[[#This Row],[Attrition]]="Yes",1,0)</f>
        <v>0</v>
      </c>
      <c r="AK1039" t="str">
        <f>_xlfn.IFS(AND(HR_Data[[#This Row],[Age]]&gt;=18,HR_Data[[#This Row],[Age]]&lt;=25),"18-25",AND(HR_Data[[#This Row],[Age]]&gt;=26,HR_Data[[#This Row],[Age]]&lt;=35),"26-35",AND(HR_Data[[#This Row],[Age]]&gt;=36,HR_Data[[#This Row],[Age]]&lt;=45),"36-45",HR_Data[[#This Row],[Age]]&gt;45,"45+")</f>
        <v>36-45</v>
      </c>
      <c r="AL10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40" spans="1:38"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f>IF(HR_Data[[#This Row],[Attrition]]="Yes",1,0)</f>
        <v>0</v>
      </c>
      <c r="AK1040" t="str">
        <f>_xlfn.IFS(AND(HR_Data[[#This Row],[Age]]&gt;=18,HR_Data[[#This Row],[Age]]&lt;=25),"18-25",AND(HR_Data[[#This Row],[Age]]&gt;=26,HR_Data[[#This Row],[Age]]&lt;=35),"26-35",AND(HR_Data[[#This Row],[Age]]&gt;=36,HR_Data[[#This Row],[Age]]&lt;=45),"36-45",HR_Data[[#This Row],[Age]]&gt;45,"45+")</f>
        <v>45+</v>
      </c>
      <c r="AL10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41" spans="1:38"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f>IF(HR_Data[[#This Row],[Attrition]]="Yes",1,0)</f>
        <v>1</v>
      </c>
      <c r="AK1041" t="str">
        <f>_xlfn.IFS(AND(HR_Data[[#This Row],[Age]]&gt;=18,HR_Data[[#This Row],[Age]]&lt;=25),"18-25",AND(HR_Data[[#This Row],[Age]]&gt;=26,HR_Data[[#This Row],[Age]]&lt;=35),"26-35",AND(HR_Data[[#This Row],[Age]]&gt;=36,HR_Data[[#This Row],[Age]]&lt;=45),"36-45",HR_Data[[#This Row],[Age]]&gt;45,"45+")</f>
        <v>26-35</v>
      </c>
      <c r="AL10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42" spans="1:38"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f>IF(HR_Data[[#This Row],[Attrition]]="Yes",1,0)</f>
        <v>0</v>
      </c>
      <c r="AK1042" t="str">
        <f>_xlfn.IFS(AND(HR_Data[[#This Row],[Age]]&gt;=18,HR_Data[[#This Row],[Age]]&lt;=25),"18-25",AND(HR_Data[[#This Row],[Age]]&gt;=26,HR_Data[[#This Row],[Age]]&lt;=35),"26-35",AND(HR_Data[[#This Row],[Age]]&gt;=36,HR_Data[[#This Row],[Age]]&lt;=45),"36-45",HR_Data[[#This Row],[Age]]&gt;45,"45+")</f>
        <v>36-45</v>
      </c>
      <c r="AL10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43" spans="1:38"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f>IF(HR_Data[[#This Row],[Attrition]]="Yes",1,0)</f>
        <v>0</v>
      </c>
      <c r="AK1043" t="str">
        <f>_xlfn.IFS(AND(HR_Data[[#This Row],[Age]]&gt;=18,HR_Data[[#This Row],[Age]]&lt;=25),"18-25",AND(HR_Data[[#This Row],[Age]]&gt;=26,HR_Data[[#This Row],[Age]]&lt;=35),"26-35",AND(HR_Data[[#This Row],[Age]]&gt;=36,HR_Data[[#This Row],[Age]]&lt;=45),"36-45",HR_Data[[#This Row],[Age]]&gt;45,"45+")</f>
        <v>26-35</v>
      </c>
      <c r="AL10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44" spans="1:38"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f>IF(HR_Data[[#This Row],[Attrition]]="Yes",1,0)</f>
        <v>0</v>
      </c>
      <c r="AK1044" t="str">
        <f>_xlfn.IFS(AND(HR_Data[[#This Row],[Age]]&gt;=18,HR_Data[[#This Row],[Age]]&lt;=25),"18-25",AND(HR_Data[[#This Row],[Age]]&gt;=26,HR_Data[[#This Row],[Age]]&lt;=35),"26-35",AND(HR_Data[[#This Row],[Age]]&gt;=36,HR_Data[[#This Row],[Age]]&lt;=45),"36-45",HR_Data[[#This Row],[Age]]&gt;45,"45+")</f>
        <v>36-45</v>
      </c>
      <c r="AL10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45" spans="1:38"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f>IF(HR_Data[[#This Row],[Attrition]]="Yes",1,0)</f>
        <v>0</v>
      </c>
      <c r="AK1045" t="str">
        <f>_xlfn.IFS(AND(HR_Data[[#This Row],[Age]]&gt;=18,HR_Data[[#This Row],[Age]]&lt;=25),"18-25",AND(HR_Data[[#This Row],[Age]]&gt;=26,HR_Data[[#This Row],[Age]]&lt;=35),"26-35",AND(HR_Data[[#This Row],[Age]]&gt;=36,HR_Data[[#This Row],[Age]]&lt;=45),"36-45",HR_Data[[#This Row],[Age]]&gt;45,"45+")</f>
        <v>45+</v>
      </c>
      <c r="AL10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46" spans="1:38"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f>IF(HR_Data[[#This Row],[Attrition]]="Yes",1,0)</f>
        <v>0</v>
      </c>
      <c r="AK1046" t="str">
        <f>_xlfn.IFS(AND(HR_Data[[#This Row],[Age]]&gt;=18,HR_Data[[#This Row],[Age]]&lt;=25),"18-25",AND(HR_Data[[#This Row],[Age]]&gt;=26,HR_Data[[#This Row],[Age]]&lt;=35),"26-35",AND(HR_Data[[#This Row],[Age]]&gt;=36,HR_Data[[#This Row],[Age]]&lt;=45),"36-45",HR_Data[[#This Row],[Age]]&gt;45,"45+")</f>
        <v>45+</v>
      </c>
      <c r="AL10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47" spans="1:38"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f>IF(HR_Data[[#This Row],[Attrition]]="Yes",1,0)</f>
        <v>0</v>
      </c>
      <c r="AK1047" t="str">
        <f>_xlfn.IFS(AND(HR_Data[[#This Row],[Age]]&gt;=18,HR_Data[[#This Row],[Age]]&lt;=25),"18-25",AND(HR_Data[[#This Row],[Age]]&gt;=26,HR_Data[[#This Row],[Age]]&lt;=35),"26-35",AND(HR_Data[[#This Row],[Age]]&gt;=36,HR_Data[[#This Row],[Age]]&lt;=45),"36-45",HR_Data[[#This Row],[Age]]&gt;45,"45+")</f>
        <v>36-45</v>
      </c>
      <c r="AL10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48" spans="1:38"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f>IF(HR_Data[[#This Row],[Attrition]]="Yes",1,0)</f>
        <v>0</v>
      </c>
      <c r="AK1048" t="str">
        <f>_xlfn.IFS(AND(HR_Data[[#This Row],[Age]]&gt;=18,HR_Data[[#This Row],[Age]]&lt;=25),"18-25",AND(HR_Data[[#This Row],[Age]]&gt;=26,HR_Data[[#This Row],[Age]]&lt;=35),"26-35",AND(HR_Data[[#This Row],[Age]]&gt;=36,HR_Data[[#This Row],[Age]]&lt;=45),"36-45",HR_Data[[#This Row],[Age]]&gt;45,"45+")</f>
        <v>36-45</v>
      </c>
      <c r="AL10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49" spans="1:38"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f>IF(HR_Data[[#This Row],[Attrition]]="Yes",1,0)</f>
        <v>0</v>
      </c>
      <c r="AK1049" t="str">
        <f>_xlfn.IFS(AND(HR_Data[[#This Row],[Age]]&gt;=18,HR_Data[[#This Row],[Age]]&lt;=25),"18-25",AND(HR_Data[[#This Row],[Age]]&gt;=26,HR_Data[[#This Row],[Age]]&lt;=35),"26-35",AND(HR_Data[[#This Row],[Age]]&gt;=36,HR_Data[[#This Row],[Age]]&lt;=45),"36-45",HR_Data[[#This Row],[Age]]&gt;45,"45+")</f>
        <v>26-35</v>
      </c>
      <c r="AL10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50" spans="1:38"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f>IF(HR_Data[[#This Row],[Attrition]]="Yes",1,0)</f>
        <v>0</v>
      </c>
      <c r="AK1050" t="str">
        <f>_xlfn.IFS(AND(HR_Data[[#This Row],[Age]]&gt;=18,HR_Data[[#This Row],[Age]]&lt;=25),"18-25",AND(HR_Data[[#This Row],[Age]]&gt;=26,HR_Data[[#This Row],[Age]]&lt;=35),"26-35",AND(HR_Data[[#This Row],[Age]]&gt;=36,HR_Data[[#This Row],[Age]]&lt;=45),"36-45",HR_Data[[#This Row],[Age]]&gt;45,"45+")</f>
        <v>26-35</v>
      </c>
      <c r="AL10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51" spans="1:38"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f>IF(HR_Data[[#This Row],[Attrition]]="Yes",1,0)</f>
        <v>0</v>
      </c>
      <c r="AK1051" t="str">
        <f>_xlfn.IFS(AND(HR_Data[[#This Row],[Age]]&gt;=18,HR_Data[[#This Row],[Age]]&lt;=25),"18-25",AND(HR_Data[[#This Row],[Age]]&gt;=26,HR_Data[[#This Row],[Age]]&lt;=35),"26-35",AND(HR_Data[[#This Row],[Age]]&gt;=36,HR_Data[[#This Row],[Age]]&lt;=45),"36-45",HR_Data[[#This Row],[Age]]&gt;45,"45+")</f>
        <v>26-35</v>
      </c>
      <c r="AL10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52" spans="1:38"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f>IF(HR_Data[[#This Row],[Attrition]]="Yes",1,0)</f>
        <v>0</v>
      </c>
      <c r="AK1052" t="str">
        <f>_xlfn.IFS(AND(HR_Data[[#This Row],[Age]]&gt;=18,HR_Data[[#This Row],[Age]]&lt;=25),"18-25",AND(HR_Data[[#This Row],[Age]]&gt;=26,HR_Data[[#This Row],[Age]]&lt;=35),"26-35",AND(HR_Data[[#This Row],[Age]]&gt;=36,HR_Data[[#This Row],[Age]]&lt;=45),"36-45",HR_Data[[#This Row],[Age]]&gt;45,"45+")</f>
        <v>36-45</v>
      </c>
      <c r="AL10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53" spans="1:38"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f>IF(HR_Data[[#This Row],[Attrition]]="Yes",1,0)</f>
        <v>0</v>
      </c>
      <c r="AK1053" t="str">
        <f>_xlfn.IFS(AND(HR_Data[[#This Row],[Age]]&gt;=18,HR_Data[[#This Row],[Age]]&lt;=25),"18-25",AND(HR_Data[[#This Row],[Age]]&gt;=26,HR_Data[[#This Row],[Age]]&lt;=35),"26-35",AND(HR_Data[[#This Row],[Age]]&gt;=36,HR_Data[[#This Row],[Age]]&lt;=45),"36-45",HR_Data[[#This Row],[Age]]&gt;45,"45+")</f>
        <v>36-45</v>
      </c>
      <c r="AL10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54" spans="1:38"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f>IF(HR_Data[[#This Row],[Attrition]]="Yes",1,0)</f>
        <v>0</v>
      </c>
      <c r="AK1054" t="str">
        <f>_xlfn.IFS(AND(HR_Data[[#This Row],[Age]]&gt;=18,HR_Data[[#This Row],[Age]]&lt;=25),"18-25",AND(HR_Data[[#This Row],[Age]]&gt;=26,HR_Data[[#This Row],[Age]]&lt;=35),"26-35",AND(HR_Data[[#This Row],[Age]]&gt;=36,HR_Data[[#This Row],[Age]]&lt;=45),"36-45",HR_Data[[#This Row],[Age]]&gt;45,"45+")</f>
        <v>26-35</v>
      </c>
      <c r="AL10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55" spans="1:38"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f>IF(HR_Data[[#This Row],[Attrition]]="Yes",1,0)</f>
        <v>0</v>
      </c>
      <c r="AK1055" t="str">
        <f>_xlfn.IFS(AND(HR_Data[[#This Row],[Age]]&gt;=18,HR_Data[[#This Row],[Age]]&lt;=25),"18-25",AND(HR_Data[[#This Row],[Age]]&gt;=26,HR_Data[[#This Row],[Age]]&lt;=35),"26-35",AND(HR_Data[[#This Row],[Age]]&gt;=36,HR_Data[[#This Row],[Age]]&lt;=45),"36-45",HR_Data[[#This Row],[Age]]&gt;45,"45+")</f>
        <v>45+</v>
      </c>
      <c r="AL10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56" spans="1:38"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f>IF(HR_Data[[#This Row],[Attrition]]="Yes",1,0)</f>
        <v>0</v>
      </c>
      <c r="AK1056" t="str">
        <f>_xlfn.IFS(AND(HR_Data[[#This Row],[Age]]&gt;=18,HR_Data[[#This Row],[Age]]&lt;=25),"18-25",AND(HR_Data[[#This Row],[Age]]&gt;=26,HR_Data[[#This Row],[Age]]&lt;=35),"26-35",AND(HR_Data[[#This Row],[Age]]&gt;=36,HR_Data[[#This Row],[Age]]&lt;=45),"36-45",HR_Data[[#This Row],[Age]]&gt;45,"45+")</f>
        <v>45+</v>
      </c>
      <c r="AL10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57" spans="1:38"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f>IF(HR_Data[[#This Row],[Attrition]]="Yes",1,0)</f>
        <v>0</v>
      </c>
      <c r="AK1057" t="str">
        <f>_xlfn.IFS(AND(HR_Data[[#This Row],[Age]]&gt;=18,HR_Data[[#This Row],[Age]]&lt;=25),"18-25",AND(HR_Data[[#This Row],[Age]]&gt;=26,HR_Data[[#This Row],[Age]]&lt;=35),"26-35",AND(HR_Data[[#This Row],[Age]]&gt;=36,HR_Data[[#This Row],[Age]]&lt;=45),"36-45",HR_Data[[#This Row],[Age]]&gt;45,"45+")</f>
        <v>26-35</v>
      </c>
      <c r="AL10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58" spans="1:38"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f>IF(HR_Data[[#This Row],[Attrition]]="Yes",1,0)</f>
        <v>1</v>
      </c>
      <c r="AK1058" t="str">
        <f>_xlfn.IFS(AND(HR_Data[[#This Row],[Age]]&gt;=18,HR_Data[[#This Row],[Age]]&lt;=25),"18-25",AND(HR_Data[[#This Row],[Age]]&gt;=26,HR_Data[[#This Row],[Age]]&lt;=35),"26-35",AND(HR_Data[[#This Row],[Age]]&gt;=36,HR_Data[[#This Row],[Age]]&lt;=45),"36-45",HR_Data[[#This Row],[Age]]&gt;45,"45+")</f>
        <v>26-35</v>
      </c>
      <c r="AL10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59" spans="1:38"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f>IF(HR_Data[[#This Row],[Attrition]]="Yes",1,0)</f>
        <v>1</v>
      </c>
      <c r="AK1059" t="str">
        <f>_xlfn.IFS(AND(HR_Data[[#This Row],[Age]]&gt;=18,HR_Data[[#This Row],[Age]]&lt;=25),"18-25",AND(HR_Data[[#This Row],[Age]]&gt;=26,HR_Data[[#This Row],[Age]]&lt;=35),"26-35",AND(HR_Data[[#This Row],[Age]]&gt;=36,HR_Data[[#This Row],[Age]]&lt;=45),"36-45",HR_Data[[#This Row],[Age]]&gt;45,"45+")</f>
        <v>26-35</v>
      </c>
      <c r="AL10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60" spans="1:38"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f>IF(HR_Data[[#This Row],[Attrition]]="Yes",1,0)</f>
        <v>1</v>
      </c>
      <c r="AK1060" t="str">
        <f>_xlfn.IFS(AND(HR_Data[[#This Row],[Age]]&gt;=18,HR_Data[[#This Row],[Age]]&lt;=25),"18-25",AND(HR_Data[[#This Row],[Age]]&gt;=26,HR_Data[[#This Row],[Age]]&lt;=35),"26-35",AND(HR_Data[[#This Row],[Age]]&gt;=36,HR_Data[[#This Row],[Age]]&lt;=45),"36-45",HR_Data[[#This Row],[Age]]&gt;45,"45+")</f>
        <v>26-35</v>
      </c>
      <c r="AL10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61" spans="1:38"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f>IF(HR_Data[[#This Row],[Attrition]]="Yes",1,0)</f>
        <v>0</v>
      </c>
      <c r="AK1061" t="str">
        <f>_xlfn.IFS(AND(HR_Data[[#This Row],[Age]]&gt;=18,HR_Data[[#This Row],[Age]]&lt;=25),"18-25",AND(HR_Data[[#This Row],[Age]]&gt;=26,HR_Data[[#This Row],[Age]]&lt;=35),"26-35",AND(HR_Data[[#This Row],[Age]]&gt;=36,HR_Data[[#This Row],[Age]]&lt;=45),"36-45",HR_Data[[#This Row],[Age]]&gt;45,"45+")</f>
        <v>26-35</v>
      </c>
      <c r="AL10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62" spans="1:38"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f>IF(HR_Data[[#This Row],[Attrition]]="Yes",1,0)</f>
        <v>1</v>
      </c>
      <c r="AK1062" t="str">
        <f>_xlfn.IFS(AND(HR_Data[[#This Row],[Age]]&gt;=18,HR_Data[[#This Row],[Age]]&lt;=25),"18-25",AND(HR_Data[[#This Row],[Age]]&gt;=26,HR_Data[[#This Row],[Age]]&lt;=35),"26-35",AND(HR_Data[[#This Row],[Age]]&gt;=36,HR_Data[[#This Row],[Age]]&lt;=45),"36-45",HR_Data[[#This Row],[Age]]&gt;45,"45+")</f>
        <v>18-25</v>
      </c>
      <c r="AL10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63" spans="1:38"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f>IF(HR_Data[[#This Row],[Attrition]]="Yes",1,0)</f>
        <v>0</v>
      </c>
      <c r="AK1063" t="str">
        <f>_xlfn.IFS(AND(HR_Data[[#This Row],[Age]]&gt;=18,HR_Data[[#This Row],[Age]]&lt;=25),"18-25",AND(HR_Data[[#This Row],[Age]]&gt;=26,HR_Data[[#This Row],[Age]]&lt;=35),"26-35",AND(HR_Data[[#This Row],[Age]]&gt;=36,HR_Data[[#This Row],[Age]]&lt;=45),"36-45",HR_Data[[#This Row],[Age]]&gt;45,"45+")</f>
        <v>18-25</v>
      </c>
      <c r="AL10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64" spans="1:38"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f>IF(HR_Data[[#This Row],[Attrition]]="Yes",1,0)</f>
        <v>0</v>
      </c>
      <c r="AK1064" t="str">
        <f>_xlfn.IFS(AND(HR_Data[[#This Row],[Age]]&gt;=18,HR_Data[[#This Row],[Age]]&lt;=25),"18-25",AND(HR_Data[[#This Row],[Age]]&gt;=26,HR_Data[[#This Row],[Age]]&lt;=35),"26-35",AND(HR_Data[[#This Row],[Age]]&gt;=36,HR_Data[[#This Row],[Age]]&lt;=45),"36-45",HR_Data[[#This Row],[Age]]&gt;45,"45+")</f>
        <v>36-45</v>
      </c>
      <c r="AL10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65" spans="1:38"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f>IF(HR_Data[[#This Row],[Attrition]]="Yes",1,0)</f>
        <v>0</v>
      </c>
      <c r="AK1065" t="str">
        <f>_xlfn.IFS(AND(HR_Data[[#This Row],[Age]]&gt;=18,HR_Data[[#This Row],[Age]]&lt;=25),"18-25",AND(HR_Data[[#This Row],[Age]]&gt;=26,HR_Data[[#This Row],[Age]]&lt;=35),"26-35",AND(HR_Data[[#This Row],[Age]]&gt;=36,HR_Data[[#This Row],[Age]]&lt;=45),"36-45",HR_Data[[#This Row],[Age]]&gt;45,"45+")</f>
        <v>26-35</v>
      </c>
      <c r="AL10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66" spans="1:38"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f>IF(HR_Data[[#This Row],[Attrition]]="Yes",1,0)</f>
        <v>0</v>
      </c>
      <c r="AK1066" t="str">
        <f>_xlfn.IFS(AND(HR_Data[[#This Row],[Age]]&gt;=18,HR_Data[[#This Row],[Age]]&lt;=25),"18-25",AND(HR_Data[[#This Row],[Age]]&gt;=26,HR_Data[[#This Row],[Age]]&lt;=35),"26-35",AND(HR_Data[[#This Row],[Age]]&gt;=36,HR_Data[[#This Row],[Age]]&lt;=45),"36-45",HR_Data[[#This Row],[Age]]&gt;45,"45+")</f>
        <v>26-35</v>
      </c>
      <c r="AL10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67" spans="1:38"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f>IF(HR_Data[[#This Row],[Attrition]]="Yes",1,0)</f>
        <v>0</v>
      </c>
      <c r="AK1067" t="str">
        <f>_xlfn.IFS(AND(HR_Data[[#This Row],[Age]]&gt;=18,HR_Data[[#This Row],[Age]]&lt;=25),"18-25",AND(HR_Data[[#This Row],[Age]]&gt;=26,HR_Data[[#This Row],[Age]]&lt;=35),"26-35",AND(HR_Data[[#This Row],[Age]]&gt;=36,HR_Data[[#This Row],[Age]]&lt;=45),"36-45",HR_Data[[#This Row],[Age]]&gt;45,"45+")</f>
        <v>45+</v>
      </c>
      <c r="AL10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68" spans="1:38"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f>IF(HR_Data[[#This Row],[Attrition]]="Yes",1,0)</f>
        <v>0</v>
      </c>
      <c r="AK1068" t="str">
        <f>_xlfn.IFS(AND(HR_Data[[#This Row],[Age]]&gt;=18,HR_Data[[#This Row],[Age]]&lt;=25),"18-25",AND(HR_Data[[#This Row],[Age]]&gt;=26,HR_Data[[#This Row],[Age]]&lt;=35),"26-35",AND(HR_Data[[#This Row],[Age]]&gt;=36,HR_Data[[#This Row],[Age]]&lt;=45),"36-45",HR_Data[[#This Row],[Age]]&gt;45,"45+")</f>
        <v>26-35</v>
      </c>
      <c r="AL10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69" spans="1:38"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f>IF(HR_Data[[#This Row],[Attrition]]="Yes",1,0)</f>
        <v>0</v>
      </c>
      <c r="AK1069" t="str">
        <f>_xlfn.IFS(AND(HR_Data[[#This Row],[Age]]&gt;=18,HR_Data[[#This Row],[Age]]&lt;=25),"18-25",AND(HR_Data[[#This Row],[Age]]&gt;=26,HR_Data[[#This Row],[Age]]&lt;=35),"26-35",AND(HR_Data[[#This Row],[Age]]&gt;=36,HR_Data[[#This Row],[Age]]&lt;=45),"36-45",HR_Data[[#This Row],[Age]]&gt;45,"45+")</f>
        <v>45+</v>
      </c>
      <c r="AL10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70" spans="1:38"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f>IF(HR_Data[[#This Row],[Attrition]]="Yes",1,0)</f>
        <v>1</v>
      </c>
      <c r="AK1070" t="str">
        <f>_xlfn.IFS(AND(HR_Data[[#This Row],[Age]]&gt;=18,HR_Data[[#This Row],[Age]]&lt;=25),"18-25",AND(HR_Data[[#This Row],[Age]]&gt;=26,HR_Data[[#This Row],[Age]]&lt;=35),"26-35",AND(HR_Data[[#This Row],[Age]]&gt;=36,HR_Data[[#This Row],[Age]]&lt;=45),"36-45",HR_Data[[#This Row],[Age]]&gt;45,"45+")</f>
        <v>26-35</v>
      </c>
      <c r="AL10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71" spans="1:38"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f>IF(HR_Data[[#This Row],[Attrition]]="Yes",1,0)</f>
        <v>0</v>
      </c>
      <c r="AK1071" t="str">
        <f>_xlfn.IFS(AND(HR_Data[[#This Row],[Age]]&gt;=18,HR_Data[[#This Row],[Age]]&lt;=25),"18-25",AND(HR_Data[[#This Row],[Age]]&gt;=26,HR_Data[[#This Row],[Age]]&lt;=35),"26-35",AND(HR_Data[[#This Row],[Age]]&gt;=36,HR_Data[[#This Row],[Age]]&lt;=45),"36-45",HR_Data[[#This Row],[Age]]&gt;45,"45+")</f>
        <v>26-35</v>
      </c>
      <c r="AL10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72" spans="1:38"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f>IF(HR_Data[[#This Row],[Attrition]]="Yes",1,0)</f>
        <v>0</v>
      </c>
      <c r="AK1072" t="str">
        <f>_xlfn.IFS(AND(HR_Data[[#This Row],[Age]]&gt;=18,HR_Data[[#This Row],[Age]]&lt;=25),"18-25",AND(HR_Data[[#This Row],[Age]]&gt;=26,HR_Data[[#This Row],[Age]]&lt;=35),"26-35",AND(HR_Data[[#This Row],[Age]]&gt;=36,HR_Data[[#This Row],[Age]]&lt;=45),"36-45",HR_Data[[#This Row],[Age]]&gt;45,"45+")</f>
        <v>26-35</v>
      </c>
      <c r="AL10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73" spans="1:38"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f>IF(HR_Data[[#This Row],[Attrition]]="Yes",1,0)</f>
        <v>0</v>
      </c>
      <c r="AK1073" t="str">
        <f>_xlfn.IFS(AND(HR_Data[[#This Row],[Age]]&gt;=18,HR_Data[[#This Row],[Age]]&lt;=25),"18-25",AND(HR_Data[[#This Row],[Age]]&gt;=26,HR_Data[[#This Row],[Age]]&lt;=35),"26-35",AND(HR_Data[[#This Row],[Age]]&gt;=36,HR_Data[[#This Row],[Age]]&lt;=45),"36-45",HR_Data[[#This Row],[Age]]&gt;45,"45+")</f>
        <v>45+</v>
      </c>
      <c r="AL10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74" spans="1:38"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f>IF(HR_Data[[#This Row],[Attrition]]="Yes",1,0)</f>
        <v>0</v>
      </c>
      <c r="AK1074" t="str">
        <f>_xlfn.IFS(AND(HR_Data[[#This Row],[Age]]&gt;=18,HR_Data[[#This Row],[Age]]&lt;=25),"18-25",AND(HR_Data[[#This Row],[Age]]&gt;=26,HR_Data[[#This Row],[Age]]&lt;=35),"26-35",AND(HR_Data[[#This Row],[Age]]&gt;=36,HR_Data[[#This Row],[Age]]&lt;=45),"36-45",HR_Data[[#This Row],[Age]]&gt;45,"45+")</f>
        <v>26-35</v>
      </c>
      <c r="AL10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75" spans="1:38"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f>IF(HR_Data[[#This Row],[Attrition]]="Yes",1,0)</f>
        <v>0</v>
      </c>
      <c r="AK1075" t="str">
        <f>_xlfn.IFS(AND(HR_Data[[#This Row],[Age]]&gt;=18,HR_Data[[#This Row],[Age]]&lt;=25),"18-25",AND(HR_Data[[#This Row],[Age]]&gt;=26,HR_Data[[#This Row],[Age]]&lt;=35),"26-35",AND(HR_Data[[#This Row],[Age]]&gt;=36,HR_Data[[#This Row],[Age]]&lt;=45),"36-45",HR_Data[[#This Row],[Age]]&gt;45,"45+")</f>
        <v>26-35</v>
      </c>
      <c r="AL10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76" spans="1:38"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f>IF(HR_Data[[#This Row],[Attrition]]="Yes",1,0)</f>
        <v>0</v>
      </c>
      <c r="AK1076" t="str">
        <f>_xlfn.IFS(AND(HR_Data[[#This Row],[Age]]&gt;=18,HR_Data[[#This Row],[Age]]&lt;=25),"18-25",AND(HR_Data[[#This Row],[Age]]&gt;=26,HR_Data[[#This Row],[Age]]&lt;=35),"26-35",AND(HR_Data[[#This Row],[Age]]&gt;=36,HR_Data[[#This Row],[Age]]&lt;=45),"36-45",HR_Data[[#This Row],[Age]]&gt;45,"45+")</f>
        <v>26-35</v>
      </c>
      <c r="AL10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77" spans="1:38"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f>IF(HR_Data[[#This Row],[Attrition]]="Yes",1,0)</f>
        <v>0</v>
      </c>
      <c r="AK1077" t="str">
        <f>_xlfn.IFS(AND(HR_Data[[#This Row],[Age]]&gt;=18,HR_Data[[#This Row],[Age]]&lt;=25),"18-25",AND(HR_Data[[#This Row],[Age]]&gt;=26,HR_Data[[#This Row],[Age]]&lt;=35),"26-35",AND(HR_Data[[#This Row],[Age]]&gt;=36,HR_Data[[#This Row],[Age]]&lt;=45),"36-45",HR_Data[[#This Row],[Age]]&gt;45,"45+")</f>
        <v>26-35</v>
      </c>
      <c r="AL10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78" spans="1:38"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f>IF(HR_Data[[#This Row],[Attrition]]="Yes",1,0)</f>
        <v>0</v>
      </c>
      <c r="AK1078" t="str">
        <f>_xlfn.IFS(AND(HR_Data[[#This Row],[Age]]&gt;=18,HR_Data[[#This Row],[Age]]&lt;=25),"18-25",AND(HR_Data[[#This Row],[Age]]&gt;=26,HR_Data[[#This Row],[Age]]&lt;=35),"26-35",AND(HR_Data[[#This Row],[Age]]&gt;=36,HR_Data[[#This Row],[Age]]&lt;=45),"36-45",HR_Data[[#This Row],[Age]]&gt;45,"45+")</f>
        <v>45+</v>
      </c>
      <c r="AL10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79" spans="1:38"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f>IF(HR_Data[[#This Row],[Attrition]]="Yes",1,0)</f>
        <v>1</v>
      </c>
      <c r="AK1079" t="str">
        <f>_xlfn.IFS(AND(HR_Data[[#This Row],[Age]]&gt;=18,HR_Data[[#This Row],[Age]]&lt;=25),"18-25",AND(HR_Data[[#This Row],[Age]]&gt;=26,HR_Data[[#This Row],[Age]]&lt;=35),"26-35",AND(HR_Data[[#This Row],[Age]]&gt;=36,HR_Data[[#This Row],[Age]]&lt;=45),"36-45",HR_Data[[#This Row],[Age]]&gt;45,"45+")</f>
        <v>26-35</v>
      </c>
      <c r="AL10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80" spans="1:38"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f>IF(HR_Data[[#This Row],[Attrition]]="Yes",1,0)</f>
        <v>0</v>
      </c>
      <c r="AK1080" t="str">
        <f>_xlfn.IFS(AND(HR_Data[[#This Row],[Age]]&gt;=18,HR_Data[[#This Row],[Age]]&lt;=25),"18-25",AND(HR_Data[[#This Row],[Age]]&gt;=26,HR_Data[[#This Row],[Age]]&lt;=35),"26-35",AND(HR_Data[[#This Row],[Age]]&gt;=36,HR_Data[[#This Row],[Age]]&lt;=45),"36-45",HR_Data[[#This Row],[Age]]&gt;45,"45+")</f>
        <v>36-45</v>
      </c>
      <c r="AL10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81" spans="1:38"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f>IF(HR_Data[[#This Row],[Attrition]]="Yes",1,0)</f>
        <v>0</v>
      </c>
      <c r="AK1081" t="str">
        <f>_xlfn.IFS(AND(HR_Data[[#This Row],[Age]]&gt;=18,HR_Data[[#This Row],[Age]]&lt;=25),"18-25",AND(HR_Data[[#This Row],[Age]]&gt;=26,HR_Data[[#This Row],[Age]]&lt;=35),"26-35",AND(HR_Data[[#This Row],[Age]]&gt;=36,HR_Data[[#This Row],[Age]]&lt;=45),"36-45",HR_Data[[#This Row],[Age]]&gt;45,"45+")</f>
        <v>36-45</v>
      </c>
      <c r="AL10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82" spans="1:38"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f>IF(HR_Data[[#This Row],[Attrition]]="Yes",1,0)</f>
        <v>0</v>
      </c>
      <c r="AK1082" t="str">
        <f>_xlfn.IFS(AND(HR_Data[[#This Row],[Age]]&gt;=18,HR_Data[[#This Row],[Age]]&lt;=25),"18-25",AND(HR_Data[[#This Row],[Age]]&gt;=26,HR_Data[[#This Row],[Age]]&lt;=35),"26-35",AND(HR_Data[[#This Row],[Age]]&gt;=36,HR_Data[[#This Row],[Age]]&lt;=45),"36-45",HR_Data[[#This Row],[Age]]&gt;45,"45+")</f>
        <v>45+</v>
      </c>
      <c r="AL10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83" spans="1:38"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f>IF(HR_Data[[#This Row],[Attrition]]="Yes",1,0)</f>
        <v>0</v>
      </c>
      <c r="AK1083" t="str">
        <f>_xlfn.IFS(AND(HR_Data[[#This Row],[Age]]&gt;=18,HR_Data[[#This Row],[Age]]&lt;=25),"18-25",AND(HR_Data[[#This Row],[Age]]&gt;=26,HR_Data[[#This Row],[Age]]&lt;=35),"26-35",AND(HR_Data[[#This Row],[Age]]&gt;=36,HR_Data[[#This Row],[Age]]&lt;=45),"36-45",HR_Data[[#This Row],[Age]]&gt;45,"45+")</f>
        <v>26-35</v>
      </c>
      <c r="AL10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84" spans="1:38"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f>IF(HR_Data[[#This Row],[Attrition]]="Yes",1,0)</f>
        <v>0</v>
      </c>
      <c r="AK1084" t="str">
        <f>_xlfn.IFS(AND(HR_Data[[#This Row],[Age]]&gt;=18,HR_Data[[#This Row],[Age]]&lt;=25),"18-25",AND(HR_Data[[#This Row],[Age]]&gt;=26,HR_Data[[#This Row],[Age]]&lt;=35),"26-35",AND(HR_Data[[#This Row],[Age]]&gt;=36,HR_Data[[#This Row],[Age]]&lt;=45),"36-45",HR_Data[[#This Row],[Age]]&gt;45,"45+")</f>
        <v>18-25</v>
      </c>
      <c r="AL10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85" spans="1:38"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f>IF(HR_Data[[#This Row],[Attrition]]="Yes",1,0)</f>
        <v>1</v>
      </c>
      <c r="AK1085" t="str">
        <f>_xlfn.IFS(AND(HR_Data[[#This Row],[Age]]&gt;=18,HR_Data[[#This Row],[Age]]&lt;=25),"18-25",AND(HR_Data[[#This Row],[Age]]&gt;=26,HR_Data[[#This Row],[Age]]&lt;=35),"26-35",AND(HR_Data[[#This Row],[Age]]&gt;=36,HR_Data[[#This Row],[Age]]&lt;=45),"36-45",HR_Data[[#This Row],[Age]]&gt;45,"45+")</f>
        <v>36-45</v>
      </c>
      <c r="AL10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86" spans="1:38"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f>IF(HR_Data[[#This Row],[Attrition]]="Yes",1,0)</f>
        <v>0</v>
      </c>
      <c r="AK1086" t="str">
        <f>_xlfn.IFS(AND(HR_Data[[#This Row],[Age]]&gt;=18,HR_Data[[#This Row],[Age]]&lt;=25),"18-25",AND(HR_Data[[#This Row],[Age]]&gt;=26,HR_Data[[#This Row],[Age]]&lt;=35),"26-35",AND(HR_Data[[#This Row],[Age]]&gt;=36,HR_Data[[#This Row],[Age]]&lt;=45),"36-45",HR_Data[[#This Row],[Age]]&gt;45,"45+")</f>
        <v>26-35</v>
      </c>
      <c r="AL10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87" spans="1:38"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f>IF(HR_Data[[#This Row],[Attrition]]="Yes",1,0)</f>
        <v>1</v>
      </c>
      <c r="AK1087" t="str">
        <f>_xlfn.IFS(AND(HR_Data[[#This Row],[Age]]&gt;=18,HR_Data[[#This Row],[Age]]&lt;=25),"18-25",AND(HR_Data[[#This Row],[Age]]&gt;=26,HR_Data[[#This Row],[Age]]&lt;=35),"26-35",AND(HR_Data[[#This Row],[Age]]&gt;=36,HR_Data[[#This Row],[Age]]&lt;=45),"36-45",HR_Data[[#This Row],[Age]]&gt;45,"45+")</f>
        <v>26-35</v>
      </c>
      <c r="AL10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88" spans="1:38"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f>IF(HR_Data[[#This Row],[Attrition]]="Yes",1,0)</f>
        <v>0</v>
      </c>
      <c r="AK1088" t="str">
        <f>_xlfn.IFS(AND(HR_Data[[#This Row],[Age]]&gt;=18,HR_Data[[#This Row],[Age]]&lt;=25),"18-25",AND(HR_Data[[#This Row],[Age]]&gt;=26,HR_Data[[#This Row],[Age]]&lt;=35),"26-35",AND(HR_Data[[#This Row],[Age]]&gt;=36,HR_Data[[#This Row],[Age]]&lt;=45),"36-45",HR_Data[[#This Row],[Age]]&gt;45,"45+")</f>
        <v>45+</v>
      </c>
      <c r="AL10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89" spans="1:38"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f>IF(HR_Data[[#This Row],[Attrition]]="Yes",1,0)</f>
        <v>0</v>
      </c>
      <c r="AK1089" t="str">
        <f>_xlfn.IFS(AND(HR_Data[[#This Row],[Age]]&gt;=18,HR_Data[[#This Row],[Age]]&lt;=25),"18-25",AND(HR_Data[[#This Row],[Age]]&gt;=26,HR_Data[[#This Row],[Age]]&lt;=35),"26-35",AND(HR_Data[[#This Row],[Age]]&gt;=36,HR_Data[[#This Row],[Age]]&lt;=45),"36-45",HR_Data[[#This Row],[Age]]&gt;45,"45+")</f>
        <v>26-35</v>
      </c>
      <c r="AL10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90" spans="1:38"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f>IF(HR_Data[[#This Row],[Attrition]]="Yes",1,0)</f>
        <v>0</v>
      </c>
      <c r="AK1090" t="str">
        <f>_xlfn.IFS(AND(HR_Data[[#This Row],[Age]]&gt;=18,HR_Data[[#This Row],[Age]]&lt;=25),"18-25",AND(HR_Data[[#This Row],[Age]]&gt;=26,HR_Data[[#This Row],[Age]]&lt;=35),"26-35",AND(HR_Data[[#This Row],[Age]]&gt;=36,HR_Data[[#This Row],[Age]]&lt;=45),"36-45",HR_Data[[#This Row],[Age]]&gt;45,"45+")</f>
        <v>36-45</v>
      </c>
      <c r="AL10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091" spans="1:38"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f>IF(HR_Data[[#This Row],[Attrition]]="Yes",1,0)</f>
        <v>0</v>
      </c>
      <c r="AK1091" t="str">
        <f>_xlfn.IFS(AND(HR_Data[[#This Row],[Age]]&gt;=18,HR_Data[[#This Row],[Age]]&lt;=25),"18-25",AND(HR_Data[[#This Row],[Age]]&gt;=26,HR_Data[[#This Row],[Age]]&lt;=35),"26-35",AND(HR_Data[[#This Row],[Age]]&gt;=36,HR_Data[[#This Row],[Age]]&lt;=45),"36-45",HR_Data[[#This Row],[Age]]&gt;45,"45+")</f>
        <v>36-45</v>
      </c>
      <c r="AL10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92" spans="1:38"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f>IF(HR_Data[[#This Row],[Attrition]]="Yes",1,0)</f>
        <v>0</v>
      </c>
      <c r="AK1092" t="str">
        <f>_xlfn.IFS(AND(HR_Data[[#This Row],[Age]]&gt;=18,HR_Data[[#This Row],[Age]]&lt;=25),"18-25",AND(HR_Data[[#This Row],[Age]]&gt;=26,HR_Data[[#This Row],[Age]]&lt;=35),"26-35",AND(HR_Data[[#This Row],[Age]]&gt;=36,HR_Data[[#This Row],[Age]]&lt;=45),"36-45",HR_Data[[#This Row],[Age]]&gt;45,"45+")</f>
        <v>26-35</v>
      </c>
      <c r="AL10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93" spans="1:38"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f>IF(HR_Data[[#This Row],[Attrition]]="Yes",1,0)</f>
        <v>0</v>
      </c>
      <c r="AK1093" t="str">
        <f>_xlfn.IFS(AND(HR_Data[[#This Row],[Age]]&gt;=18,HR_Data[[#This Row],[Age]]&lt;=25),"18-25",AND(HR_Data[[#This Row],[Age]]&gt;=26,HR_Data[[#This Row],[Age]]&lt;=35),"26-35",AND(HR_Data[[#This Row],[Age]]&gt;=36,HR_Data[[#This Row],[Age]]&lt;=45),"36-45",HR_Data[[#This Row],[Age]]&gt;45,"45+")</f>
        <v>26-35</v>
      </c>
      <c r="AL10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94" spans="1:38"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f>IF(HR_Data[[#This Row],[Attrition]]="Yes",1,0)</f>
        <v>0</v>
      </c>
      <c r="AK1094" t="str">
        <f>_xlfn.IFS(AND(HR_Data[[#This Row],[Age]]&gt;=18,HR_Data[[#This Row],[Age]]&lt;=25),"18-25",AND(HR_Data[[#This Row],[Age]]&gt;=26,HR_Data[[#This Row],[Age]]&lt;=35),"26-35",AND(HR_Data[[#This Row],[Age]]&gt;=36,HR_Data[[#This Row],[Age]]&lt;=45),"36-45",HR_Data[[#This Row],[Age]]&gt;45,"45+")</f>
        <v>36-45</v>
      </c>
      <c r="AL10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095" spans="1:38"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f>IF(HR_Data[[#This Row],[Attrition]]="Yes",1,0)</f>
        <v>0</v>
      </c>
      <c r="AK1095" t="str">
        <f>_xlfn.IFS(AND(HR_Data[[#This Row],[Age]]&gt;=18,HR_Data[[#This Row],[Age]]&lt;=25),"18-25",AND(HR_Data[[#This Row],[Age]]&gt;=26,HR_Data[[#This Row],[Age]]&lt;=35),"26-35",AND(HR_Data[[#This Row],[Age]]&gt;=36,HR_Data[[#This Row],[Age]]&lt;=45),"36-45",HR_Data[[#This Row],[Age]]&gt;45,"45+")</f>
        <v>36-45</v>
      </c>
      <c r="AL10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96" spans="1:38"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f>IF(HR_Data[[#This Row],[Attrition]]="Yes",1,0)</f>
        <v>0</v>
      </c>
      <c r="AK1096" t="str">
        <f>_xlfn.IFS(AND(HR_Data[[#This Row],[Age]]&gt;=18,HR_Data[[#This Row],[Age]]&lt;=25),"18-25",AND(HR_Data[[#This Row],[Age]]&gt;=26,HR_Data[[#This Row],[Age]]&lt;=35),"26-35",AND(HR_Data[[#This Row],[Age]]&gt;=36,HR_Data[[#This Row],[Age]]&lt;=45),"36-45",HR_Data[[#This Row],[Age]]&gt;45,"45+")</f>
        <v>36-45</v>
      </c>
      <c r="AL10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097" spans="1:38"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f>IF(HR_Data[[#This Row],[Attrition]]="Yes",1,0)</f>
        <v>0</v>
      </c>
      <c r="AK1097" t="str">
        <f>_xlfn.IFS(AND(HR_Data[[#This Row],[Age]]&gt;=18,HR_Data[[#This Row],[Age]]&lt;=25),"18-25",AND(HR_Data[[#This Row],[Age]]&gt;=26,HR_Data[[#This Row],[Age]]&lt;=35),"26-35",AND(HR_Data[[#This Row],[Age]]&gt;=36,HR_Data[[#This Row],[Age]]&lt;=45),"36-45",HR_Data[[#This Row],[Age]]&gt;45,"45+")</f>
        <v>26-35</v>
      </c>
      <c r="AL10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98" spans="1:38"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f>IF(HR_Data[[#This Row],[Attrition]]="Yes",1,0)</f>
        <v>0</v>
      </c>
      <c r="AK1098" t="str">
        <f>_xlfn.IFS(AND(HR_Data[[#This Row],[Age]]&gt;=18,HR_Data[[#This Row],[Age]]&lt;=25),"18-25",AND(HR_Data[[#This Row],[Age]]&gt;=26,HR_Data[[#This Row],[Age]]&lt;=35),"26-35",AND(HR_Data[[#This Row],[Age]]&gt;=36,HR_Data[[#This Row],[Age]]&lt;=45),"36-45",HR_Data[[#This Row],[Age]]&gt;45,"45+")</f>
        <v>36-45</v>
      </c>
      <c r="AL10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099" spans="1:38"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f>IF(HR_Data[[#This Row],[Attrition]]="Yes",1,0)</f>
        <v>0</v>
      </c>
      <c r="AK1099" t="str">
        <f>_xlfn.IFS(AND(HR_Data[[#This Row],[Age]]&gt;=18,HR_Data[[#This Row],[Age]]&lt;=25),"18-25",AND(HR_Data[[#This Row],[Age]]&gt;=26,HR_Data[[#This Row],[Age]]&lt;=35),"26-35",AND(HR_Data[[#This Row],[Age]]&gt;=36,HR_Data[[#This Row],[Age]]&lt;=45),"36-45",HR_Data[[#This Row],[Age]]&gt;45,"45+")</f>
        <v>18-25</v>
      </c>
      <c r="AL10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00" spans="1:38"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f>IF(HR_Data[[#This Row],[Attrition]]="Yes",1,0)</f>
        <v>0</v>
      </c>
      <c r="AK1100" t="str">
        <f>_xlfn.IFS(AND(HR_Data[[#This Row],[Age]]&gt;=18,HR_Data[[#This Row],[Age]]&lt;=25),"18-25",AND(HR_Data[[#This Row],[Age]]&gt;=26,HR_Data[[#This Row],[Age]]&lt;=35),"26-35",AND(HR_Data[[#This Row],[Age]]&gt;=36,HR_Data[[#This Row],[Age]]&lt;=45),"36-45",HR_Data[[#This Row],[Age]]&gt;45,"45+")</f>
        <v>36-45</v>
      </c>
      <c r="AL11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01" spans="1:38"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f>IF(HR_Data[[#This Row],[Attrition]]="Yes",1,0)</f>
        <v>0</v>
      </c>
      <c r="AK1101" t="str">
        <f>_xlfn.IFS(AND(HR_Data[[#This Row],[Age]]&gt;=18,HR_Data[[#This Row],[Age]]&lt;=25),"18-25",AND(HR_Data[[#This Row],[Age]]&gt;=26,HR_Data[[#This Row],[Age]]&lt;=35),"26-35",AND(HR_Data[[#This Row],[Age]]&gt;=36,HR_Data[[#This Row],[Age]]&lt;=45),"36-45",HR_Data[[#This Row],[Age]]&gt;45,"45+")</f>
        <v>36-45</v>
      </c>
      <c r="AL11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02" spans="1:38"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f>IF(HR_Data[[#This Row],[Attrition]]="Yes",1,0)</f>
        <v>0</v>
      </c>
      <c r="AK1102" t="str">
        <f>_xlfn.IFS(AND(HR_Data[[#This Row],[Age]]&gt;=18,HR_Data[[#This Row],[Age]]&lt;=25),"18-25",AND(HR_Data[[#This Row],[Age]]&gt;=26,HR_Data[[#This Row],[Age]]&lt;=35),"26-35",AND(HR_Data[[#This Row],[Age]]&gt;=36,HR_Data[[#This Row],[Age]]&lt;=45),"36-45",HR_Data[[#This Row],[Age]]&gt;45,"45+")</f>
        <v>26-35</v>
      </c>
      <c r="AL11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03" spans="1:38"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f>IF(HR_Data[[#This Row],[Attrition]]="Yes",1,0)</f>
        <v>0</v>
      </c>
      <c r="AK1103" t="str">
        <f>_xlfn.IFS(AND(HR_Data[[#This Row],[Age]]&gt;=18,HR_Data[[#This Row],[Age]]&lt;=25),"18-25",AND(HR_Data[[#This Row],[Age]]&gt;=26,HR_Data[[#This Row],[Age]]&lt;=35),"26-35",AND(HR_Data[[#This Row],[Age]]&gt;=36,HR_Data[[#This Row],[Age]]&lt;=45),"36-45",HR_Data[[#This Row],[Age]]&gt;45,"45+")</f>
        <v>26-35</v>
      </c>
      <c r="AL11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04" spans="1:38"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f>IF(HR_Data[[#This Row],[Attrition]]="Yes",1,0)</f>
        <v>0</v>
      </c>
      <c r="AK1104" t="str">
        <f>_xlfn.IFS(AND(HR_Data[[#This Row],[Age]]&gt;=18,HR_Data[[#This Row],[Age]]&lt;=25),"18-25",AND(HR_Data[[#This Row],[Age]]&gt;=26,HR_Data[[#This Row],[Age]]&lt;=35),"26-35",AND(HR_Data[[#This Row],[Age]]&gt;=36,HR_Data[[#This Row],[Age]]&lt;=45),"36-45",HR_Data[[#This Row],[Age]]&gt;45,"45+")</f>
        <v>36-45</v>
      </c>
      <c r="AL11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05" spans="1:38"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f>IF(HR_Data[[#This Row],[Attrition]]="Yes",1,0)</f>
        <v>0</v>
      </c>
      <c r="AK1105" t="str">
        <f>_xlfn.IFS(AND(HR_Data[[#This Row],[Age]]&gt;=18,HR_Data[[#This Row],[Age]]&lt;=25),"18-25",AND(HR_Data[[#This Row],[Age]]&gt;=26,HR_Data[[#This Row],[Age]]&lt;=35),"26-35",AND(HR_Data[[#This Row],[Age]]&gt;=36,HR_Data[[#This Row],[Age]]&lt;=45),"36-45",HR_Data[[#This Row],[Age]]&gt;45,"45+")</f>
        <v>45+</v>
      </c>
      <c r="AL11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06" spans="1:38"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f>IF(HR_Data[[#This Row],[Attrition]]="Yes",1,0)</f>
        <v>0</v>
      </c>
      <c r="AK1106" t="str">
        <f>_xlfn.IFS(AND(HR_Data[[#This Row],[Age]]&gt;=18,HR_Data[[#This Row],[Age]]&lt;=25),"18-25",AND(HR_Data[[#This Row],[Age]]&gt;=26,HR_Data[[#This Row],[Age]]&lt;=35),"26-35",AND(HR_Data[[#This Row],[Age]]&gt;=36,HR_Data[[#This Row],[Age]]&lt;=45),"36-45",HR_Data[[#This Row],[Age]]&gt;45,"45+")</f>
        <v>26-35</v>
      </c>
      <c r="AL11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07" spans="1:38"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f>IF(HR_Data[[#This Row],[Attrition]]="Yes",1,0)</f>
        <v>0</v>
      </c>
      <c r="AK1107" t="str">
        <f>_xlfn.IFS(AND(HR_Data[[#This Row],[Age]]&gt;=18,HR_Data[[#This Row],[Age]]&lt;=25),"18-25",AND(HR_Data[[#This Row],[Age]]&gt;=26,HR_Data[[#This Row],[Age]]&lt;=35),"26-35",AND(HR_Data[[#This Row],[Age]]&gt;=36,HR_Data[[#This Row],[Age]]&lt;=45),"36-45",HR_Data[[#This Row],[Age]]&gt;45,"45+")</f>
        <v>26-35</v>
      </c>
      <c r="AL11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08" spans="1:38"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f>IF(HR_Data[[#This Row],[Attrition]]="Yes",1,0)</f>
        <v>1</v>
      </c>
      <c r="AK1108" t="str">
        <f>_xlfn.IFS(AND(HR_Data[[#This Row],[Age]]&gt;=18,HR_Data[[#This Row],[Age]]&lt;=25),"18-25",AND(HR_Data[[#This Row],[Age]]&gt;=26,HR_Data[[#This Row],[Age]]&lt;=35),"26-35",AND(HR_Data[[#This Row],[Age]]&gt;=36,HR_Data[[#This Row],[Age]]&lt;=45),"36-45",HR_Data[[#This Row],[Age]]&gt;45,"45+")</f>
        <v>26-35</v>
      </c>
      <c r="AL11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09" spans="1:38"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f>IF(HR_Data[[#This Row],[Attrition]]="Yes",1,0)</f>
        <v>0</v>
      </c>
      <c r="AK1109" t="str">
        <f>_xlfn.IFS(AND(HR_Data[[#This Row],[Age]]&gt;=18,HR_Data[[#This Row],[Age]]&lt;=25),"18-25",AND(HR_Data[[#This Row],[Age]]&gt;=26,HR_Data[[#This Row],[Age]]&lt;=35),"26-35",AND(HR_Data[[#This Row],[Age]]&gt;=36,HR_Data[[#This Row],[Age]]&lt;=45),"36-45",HR_Data[[#This Row],[Age]]&gt;45,"45+")</f>
        <v>36-45</v>
      </c>
      <c r="AL11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10" spans="1:38"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f>IF(HR_Data[[#This Row],[Attrition]]="Yes",1,0)</f>
        <v>0</v>
      </c>
      <c r="AK1110" t="str">
        <f>_xlfn.IFS(AND(HR_Data[[#This Row],[Age]]&gt;=18,HR_Data[[#This Row],[Age]]&lt;=25),"18-25",AND(HR_Data[[#This Row],[Age]]&gt;=26,HR_Data[[#This Row],[Age]]&lt;=35),"26-35",AND(HR_Data[[#This Row],[Age]]&gt;=36,HR_Data[[#This Row],[Age]]&lt;=45),"36-45",HR_Data[[#This Row],[Age]]&gt;45,"45+")</f>
        <v>26-35</v>
      </c>
      <c r="AL11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11" spans="1:38"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f>IF(HR_Data[[#This Row],[Attrition]]="Yes",1,0)</f>
        <v>0</v>
      </c>
      <c r="AK1111" t="str">
        <f>_xlfn.IFS(AND(HR_Data[[#This Row],[Age]]&gt;=18,HR_Data[[#This Row],[Age]]&lt;=25),"18-25",AND(HR_Data[[#This Row],[Age]]&gt;=26,HR_Data[[#This Row],[Age]]&lt;=35),"26-35",AND(HR_Data[[#This Row],[Age]]&gt;=36,HR_Data[[#This Row],[Age]]&lt;=45),"36-45",HR_Data[[#This Row],[Age]]&gt;45,"45+")</f>
        <v>26-35</v>
      </c>
      <c r="AL11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12" spans="1:38"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f>IF(HR_Data[[#This Row],[Attrition]]="Yes",1,0)</f>
        <v>1</v>
      </c>
      <c r="AK1112" t="str">
        <f>_xlfn.IFS(AND(HR_Data[[#This Row],[Age]]&gt;=18,HR_Data[[#This Row],[Age]]&lt;=25),"18-25",AND(HR_Data[[#This Row],[Age]]&gt;=26,HR_Data[[#This Row],[Age]]&lt;=35),"26-35",AND(HR_Data[[#This Row],[Age]]&gt;=36,HR_Data[[#This Row],[Age]]&lt;=45),"36-45",HR_Data[[#This Row],[Age]]&gt;45,"45+")</f>
        <v>26-35</v>
      </c>
      <c r="AL11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13" spans="1:38"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f>IF(HR_Data[[#This Row],[Attrition]]="Yes",1,0)</f>
        <v>1</v>
      </c>
      <c r="AK1113" t="str">
        <f>_xlfn.IFS(AND(HR_Data[[#This Row],[Age]]&gt;=18,HR_Data[[#This Row],[Age]]&lt;=25),"18-25",AND(HR_Data[[#This Row],[Age]]&gt;=26,HR_Data[[#This Row],[Age]]&lt;=35),"26-35",AND(HR_Data[[#This Row],[Age]]&gt;=36,HR_Data[[#This Row],[Age]]&lt;=45),"36-45",HR_Data[[#This Row],[Age]]&gt;45,"45+")</f>
        <v>45+</v>
      </c>
      <c r="AL11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14" spans="1:38"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f>IF(HR_Data[[#This Row],[Attrition]]="Yes",1,0)</f>
        <v>1</v>
      </c>
      <c r="AK1114" t="str">
        <f>_xlfn.IFS(AND(HR_Data[[#This Row],[Age]]&gt;=18,HR_Data[[#This Row],[Age]]&lt;=25),"18-25",AND(HR_Data[[#This Row],[Age]]&gt;=26,HR_Data[[#This Row],[Age]]&lt;=35),"26-35",AND(HR_Data[[#This Row],[Age]]&gt;=36,HR_Data[[#This Row],[Age]]&lt;=45),"36-45",HR_Data[[#This Row],[Age]]&gt;45,"45+")</f>
        <v>36-45</v>
      </c>
      <c r="AL11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15" spans="1:38"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f>IF(HR_Data[[#This Row],[Attrition]]="Yes",1,0)</f>
        <v>0</v>
      </c>
      <c r="AK1115" t="str">
        <f>_xlfn.IFS(AND(HR_Data[[#This Row],[Age]]&gt;=18,HR_Data[[#This Row],[Age]]&lt;=25),"18-25",AND(HR_Data[[#This Row],[Age]]&gt;=26,HR_Data[[#This Row],[Age]]&lt;=35),"26-35",AND(HR_Data[[#This Row],[Age]]&gt;=36,HR_Data[[#This Row],[Age]]&lt;=45),"36-45",HR_Data[[#This Row],[Age]]&gt;45,"45+")</f>
        <v>26-35</v>
      </c>
      <c r="AL11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16" spans="1:38"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f>IF(HR_Data[[#This Row],[Attrition]]="Yes",1,0)</f>
        <v>0</v>
      </c>
      <c r="AK1116" t="str">
        <f>_xlfn.IFS(AND(HR_Data[[#This Row],[Age]]&gt;=18,HR_Data[[#This Row],[Age]]&lt;=25),"18-25",AND(HR_Data[[#This Row],[Age]]&gt;=26,HR_Data[[#This Row],[Age]]&lt;=35),"26-35",AND(HR_Data[[#This Row],[Age]]&gt;=36,HR_Data[[#This Row],[Age]]&lt;=45),"36-45",HR_Data[[#This Row],[Age]]&gt;45,"45+")</f>
        <v>45+</v>
      </c>
      <c r="AL11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17" spans="1:38"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f>IF(HR_Data[[#This Row],[Attrition]]="Yes",1,0)</f>
        <v>0</v>
      </c>
      <c r="AK1117" t="str">
        <f>_xlfn.IFS(AND(HR_Data[[#This Row],[Age]]&gt;=18,HR_Data[[#This Row],[Age]]&lt;=25),"18-25",AND(HR_Data[[#This Row],[Age]]&gt;=26,HR_Data[[#This Row],[Age]]&lt;=35),"26-35",AND(HR_Data[[#This Row],[Age]]&gt;=36,HR_Data[[#This Row],[Age]]&lt;=45),"36-45",HR_Data[[#This Row],[Age]]&gt;45,"45+")</f>
        <v>26-35</v>
      </c>
      <c r="AL11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18" spans="1:38"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f>IF(HR_Data[[#This Row],[Attrition]]="Yes",1,0)</f>
        <v>0</v>
      </c>
      <c r="AK1118" t="str">
        <f>_xlfn.IFS(AND(HR_Data[[#This Row],[Age]]&gt;=18,HR_Data[[#This Row],[Age]]&lt;=25),"18-25",AND(HR_Data[[#This Row],[Age]]&gt;=26,HR_Data[[#This Row],[Age]]&lt;=35),"26-35",AND(HR_Data[[#This Row],[Age]]&gt;=36,HR_Data[[#This Row],[Age]]&lt;=45),"36-45",HR_Data[[#This Row],[Age]]&gt;45,"45+")</f>
        <v>45+</v>
      </c>
      <c r="AL11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19" spans="1:38"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f>IF(HR_Data[[#This Row],[Attrition]]="Yes",1,0)</f>
        <v>0</v>
      </c>
      <c r="AK1119" t="str">
        <f>_xlfn.IFS(AND(HR_Data[[#This Row],[Age]]&gt;=18,HR_Data[[#This Row],[Age]]&lt;=25),"18-25",AND(HR_Data[[#This Row],[Age]]&gt;=26,HR_Data[[#This Row],[Age]]&lt;=35),"26-35",AND(HR_Data[[#This Row],[Age]]&gt;=36,HR_Data[[#This Row],[Age]]&lt;=45),"36-45",HR_Data[[#This Row],[Age]]&gt;45,"45+")</f>
        <v>26-35</v>
      </c>
      <c r="AL11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20" spans="1:38"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f>IF(HR_Data[[#This Row],[Attrition]]="Yes",1,0)</f>
        <v>0</v>
      </c>
      <c r="AK1120" t="str">
        <f>_xlfn.IFS(AND(HR_Data[[#This Row],[Age]]&gt;=18,HR_Data[[#This Row],[Age]]&lt;=25),"18-25",AND(HR_Data[[#This Row],[Age]]&gt;=26,HR_Data[[#This Row],[Age]]&lt;=35),"26-35",AND(HR_Data[[#This Row],[Age]]&gt;=36,HR_Data[[#This Row],[Age]]&lt;=45),"36-45",HR_Data[[#This Row],[Age]]&gt;45,"45+")</f>
        <v>26-35</v>
      </c>
      <c r="AL11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21" spans="1:38"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f>IF(HR_Data[[#This Row],[Attrition]]="Yes",1,0)</f>
        <v>0</v>
      </c>
      <c r="AK1121" t="str">
        <f>_xlfn.IFS(AND(HR_Data[[#This Row],[Age]]&gt;=18,HR_Data[[#This Row],[Age]]&lt;=25),"18-25",AND(HR_Data[[#This Row],[Age]]&gt;=26,HR_Data[[#This Row],[Age]]&lt;=35),"26-35",AND(HR_Data[[#This Row],[Age]]&gt;=36,HR_Data[[#This Row],[Age]]&lt;=45),"36-45",HR_Data[[#This Row],[Age]]&gt;45,"45+")</f>
        <v>36-45</v>
      </c>
      <c r="AL11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22" spans="1:38"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f>IF(HR_Data[[#This Row],[Attrition]]="Yes",1,0)</f>
        <v>0</v>
      </c>
      <c r="AK1122" t="str">
        <f>_xlfn.IFS(AND(HR_Data[[#This Row],[Age]]&gt;=18,HR_Data[[#This Row],[Age]]&lt;=25),"18-25",AND(HR_Data[[#This Row],[Age]]&gt;=26,HR_Data[[#This Row],[Age]]&lt;=35),"26-35",AND(HR_Data[[#This Row],[Age]]&gt;=36,HR_Data[[#This Row],[Age]]&lt;=45),"36-45",HR_Data[[#This Row],[Age]]&gt;45,"45+")</f>
        <v>36-45</v>
      </c>
      <c r="AL11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23" spans="1:38"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f>IF(HR_Data[[#This Row],[Attrition]]="Yes",1,0)</f>
        <v>0</v>
      </c>
      <c r="AK1123" t="str">
        <f>_xlfn.IFS(AND(HR_Data[[#This Row],[Age]]&gt;=18,HR_Data[[#This Row],[Age]]&lt;=25),"18-25",AND(HR_Data[[#This Row],[Age]]&gt;=26,HR_Data[[#This Row],[Age]]&lt;=35),"26-35",AND(HR_Data[[#This Row],[Age]]&gt;=36,HR_Data[[#This Row],[Age]]&lt;=45),"36-45",HR_Data[[#This Row],[Age]]&gt;45,"45+")</f>
        <v>36-45</v>
      </c>
      <c r="AL11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24" spans="1:38"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f>IF(HR_Data[[#This Row],[Attrition]]="Yes",1,0)</f>
        <v>0</v>
      </c>
      <c r="AK1124" t="str">
        <f>_xlfn.IFS(AND(HR_Data[[#This Row],[Age]]&gt;=18,HR_Data[[#This Row],[Age]]&lt;=25),"18-25",AND(HR_Data[[#This Row],[Age]]&gt;=26,HR_Data[[#This Row],[Age]]&lt;=35),"26-35",AND(HR_Data[[#This Row],[Age]]&gt;=36,HR_Data[[#This Row],[Age]]&lt;=45),"36-45",HR_Data[[#This Row],[Age]]&gt;45,"45+")</f>
        <v>26-35</v>
      </c>
      <c r="AL11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25" spans="1:38"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f>IF(HR_Data[[#This Row],[Attrition]]="Yes",1,0)</f>
        <v>0</v>
      </c>
      <c r="AK1125" t="str">
        <f>_xlfn.IFS(AND(HR_Data[[#This Row],[Age]]&gt;=18,HR_Data[[#This Row],[Age]]&lt;=25),"18-25",AND(HR_Data[[#This Row],[Age]]&gt;=26,HR_Data[[#This Row],[Age]]&lt;=35),"26-35",AND(HR_Data[[#This Row],[Age]]&gt;=36,HR_Data[[#This Row],[Age]]&lt;=45),"36-45",HR_Data[[#This Row],[Age]]&gt;45,"45+")</f>
        <v>26-35</v>
      </c>
      <c r="AL11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26" spans="1:38"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f>IF(HR_Data[[#This Row],[Attrition]]="Yes",1,0)</f>
        <v>0</v>
      </c>
      <c r="AK1126" t="str">
        <f>_xlfn.IFS(AND(HR_Data[[#This Row],[Age]]&gt;=18,HR_Data[[#This Row],[Age]]&lt;=25),"18-25",AND(HR_Data[[#This Row],[Age]]&gt;=26,HR_Data[[#This Row],[Age]]&lt;=35),"26-35",AND(HR_Data[[#This Row],[Age]]&gt;=36,HR_Data[[#This Row],[Age]]&lt;=45),"36-45",HR_Data[[#This Row],[Age]]&gt;45,"45+")</f>
        <v>36-45</v>
      </c>
      <c r="AL11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27" spans="1:38"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f>IF(HR_Data[[#This Row],[Attrition]]="Yes",1,0)</f>
        <v>0</v>
      </c>
      <c r="AK1127" t="str">
        <f>_xlfn.IFS(AND(HR_Data[[#This Row],[Age]]&gt;=18,HR_Data[[#This Row],[Age]]&lt;=25),"18-25",AND(HR_Data[[#This Row],[Age]]&gt;=26,HR_Data[[#This Row],[Age]]&lt;=35),"26-35",AND(HR_Data[[#This Row],[Age]]&gt;=36,HR_Data[[#This Row],[Age]]&lt;=45),"36-45",HR_Data[[#This Row],[Age]]&gt;45,"45+")</f>
        <v>26-35</v>
      </c>
      <c r="AL11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28" spans="1:38"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f>IF(HR_Data[[#This Row],[Attrition]]="Yes",1,0)</f>
        <v>0</v>
      </c>
      <c r="AK1128" t="str">
        <f>_xlfn.IFS(AND(HR_Data[[#This Row],[Age]]&gt;=18,HR_Data[[#This Row],[Age]]&lt;=25),"18-25",AND(HR_Data[[#This Row],[Age]]&gt;=26,HR_Data[[#This Row],[Age]]&lt;=35),"26-35",AND(HR_Data[[#This Row],[Age]]&gt;=36,HR_Data[[#This Row],[Age]]&lt;=45),"36-45",HR_Data[[#This Row],[Age]]&gt;45,"45+")</f>
        <v>45+</v>
      </c>
      <c r="AL11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29" spans="1:38"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f>IF(HR_Data[[#This Row],[Attrition]]="Yes",1,0)</f>
        <v>0</v>
      </c>
      <c r="AK1129" t="str">
        <f>_xlfn.IFS(AND(HR_Data[[#This Row],[Age]]&gt;=18,HR_Data[[#This Row],[Age]]&lt;=25),"18-25",AND(HR_Data[[#This Row],[Age]]&gt;=26,HR_Data[[#This Row],[Age]]&lt;=35),"26-35",AND(HR_Data[[#This Row],[Age]]&gt;=36,HR_Data[[#This Row],[Age]]&lt;=45),"36-45",HR_Data[[#This Row],[Age]]&gt;45,"45+")</f>
        <v>18-25</v>
      </c>
      <c r="AL11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30" spans="1:38"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f>IF(HR_Data[[#This Row],[Attrition]]="Yes",1,0)</f>
        <v>0</v>
      </c>
      <c r="AK1130" t="str">
        <f>_xlfn.IFS(AND(HR_Data[[#This Row],[Age]]&gt;=18,HR_Data[[#This Row],[Age]]&lt;=25),"18-25",AND(HR_Data[[#This Row],[Age]]&gt;=26,HR_Data[[#This Row],[Age]]&lt;=35),"26-35",AND(HR_Data[[#This Row],[Age]]&gt;=36,HR_Data[[#This Row],[Age]]&lt;=45),"36-45",HR_Data[[#This Row],[Age]]&gt;45,"45+")</f>
        <v>36-45</v>
      </c>
      <c r="AL11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31" spans="1:38"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f>IF(HR_Data[[#This Row],[Attrition]]="Yes",1,0)</f>
        <v>0</v>
      </c>
      <c r="AK1131" t="str">
        <f>_xlfn.IFS(AND(HR_Data[[#This Row],[Age]]&gt;=18,HR_Data[[#This Row],[Age]]&lt;=25),"18-25",AND(HR_Data[[#This Row],[Age]]&gt;=26,HR_Data[[#This Row],[Age]]&lt;=35),"26-35",AND(HR_Data[[#This Row],[Age]]&gt;=36,HR_Data[[#This Row],[Age]]&lt;=45),"36-45",HR_Data[[#This Row],[Age]]&gt;45,"45+")</f>
        <v>36-45</v>
      </c>
      <c r="AL11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32" spans="1:38"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f>IF(HR_Data[[#This Row],[Attrition]]="Yes",1,0)</f>
        <v>0</v>
      </c>
      <c r="AK1132" t="str">
        <f>_xlfn.IFS(AND(HR_Data[[#This Row],[Age]]&gt;=18,HR_Data[[#This Row],[Age]]&lt;=25),"18-25",AND(HR_Data[[#This Row],[Age]]&gt;=26,HR_Data[[#This Row],[Age]]&lt;=35),"26-35",AND(HR_Data[[#This Row],[Age]]&gt;=36,HR_Data[[#This Row],[Age]]&lt;=45),"36-45",HR_Data[[#This Row],[Age]]&gt;45,"45+")</f>
        <v>26-35</v>
      </c>
      <c r="AL11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33" spans="1:38"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f>IF(HR_Data[[#This Row],[Attrition]]="Yes",1,0)</f>
        <v>0</v>
      </c>
      <c r="AK1133" t="str">
        <f>_xlfn.IFS(AND(HR_Data[[#This Row],[Age]]&gt;=18,HR_Data[[#This Row],[Age]]&lt;=25),"18-25",AND(HR_Data[[#This Row],[Age]]&gt;=26,HR_Data[[#This Row],[Age]]&lt;=35),"26-35",AND(HR_Data[[#This Row],[Age]]&gt;=36,HR_Data[[#This Row],[Age]]&lt;=45),"36-45",HR_Data[[#This Row],[Age]]&gt;45,"45+")</f>
        <v>26-35</v>
      </c>
      <c r="AL11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34" spans="1:38"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f>IF(HR_Data[[#This Row],[Attrition]]="Yes",1,0)</f>
        <v>0</v>
      </c>
      <c r="AK1134" t="str">
        <f>_xlfn.IFS(AND(HR_Data[[#This Row],[Age]]&gt;=18,HR_Data[[#This Row],[Age]]&lt;=25),"18-25",AND(HR_Data[[#This Row],[Age]]&gt;=26,HR_Data[[#This Row],[Age]]&lt;=35),"26-35",AND(HR_Data[[#This Row],[Age]]&gt;=36,HR_Data[[#This Row],[Age]]&lt;=45),"36-45",HR_Data[[#This Row],[Age]]&gt;45,"45+")</f>
        <v>36-45</v>
      </c>
      <c r="AL11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35" spans="1:38"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f>IF(HR_Data[[#This Row],[Attrition]]="Yes",1,0)</f>
        <v>0</v>
      </c>
      <c r="AK1135" t="str">
        <f>_xlfn.IFS(AND(HR_Data[[#This Row],[Age]]&gt;=18,HR_Data[[#This Row],[Age]]&lt;=25),"18-25",AND(HR_Data[[#This Row],[Age]]&gt;=26,HR_Data[[#This Row],[Age]]&lt;=35),"26-35",AND(HR_Data[[#This Row],[Age]]&gt;=36,HR_Data[[#This Row],[Age]]&lt;=45),"36-45",HR_Data[[#This Row],[Age]]&gt;45,"45+")</f>
        <v>36-45</v>
      </c>
      <c r="AL11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36" spans="1:38"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f>IF(HR_Data[[#This Row],[Attrition]]="Yes",1,0)</f>
        <v>0</v>
      </c>
      <c r="AK1136" t="str">
        <f>_xlfn.IFS(AND(HR_Data[[#This Row],[Age]]&gt;=18,HR_Data[[#This Row],[Age]]&lt;=25),"18-25",AND(HR_Data[[#This Row],[Age]]&gt;=26,HR_Data[[#This Row],[Age]]&lt;=35),"26-35",AND(HR_Data[[#This Row],[Age]]&gt;=36,HR_Data[[#This Row],[Age]]&lt;=45),"36-45",HR_Data[[#This Row],[Age]]&gt;45,"45+")</f>
        <v>26-35</v>
      </c>
      <c r="AL11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37" spans="1:38"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f>IF(HR_Data[[#This Row],[Attrition]]="Yes",1,0)</f>
        <v>0</v>
      </c>
      <c r="AK1137" t="str">
        <f>_xlfn.IFS(AND(HR_Data[[#This Row],[Age]]&gt;=18,HR_Data[[#This Row],[Age]]&lt;=25),"18-25",AND(HR_Data[[#This Row],[Age]]&gt;=26,HR_Data[[#This Row],[Age]]&lt;=35),"26-35",AND(HR_Data[[#This Row],[Age]]&gt;=36,HR_Data[[#This Row],[Age]]&lt;=45),"36-45",HR_Data[[#This Row],[Age]]&gt;45,"45+")</f>
        <v>45+</v>
      </c>
      <c r="AL11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38" spans="1:38"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f>IF(HR_Data[[#This Row],[Attrition]]="Yes",1,0)</f>
        <v>1</v>
      </c>
      <c r="AK1138" t="str">
        <f>_xlfn.IFS(AND(HR_Data[[#This Row],[Age]]&gt;=18,HR_Data[[#This Row],[Age]]&lt;=25),"18-25",AND(HR_Data[[#This Row],[Age]]&gt;=26,HR_Data[[#This Row],[Age]]&lt;=35),"26-35",AND(HR_Data[[#This Row],[Age]]&gt;=36,HR_Data[[#This Row],[Age]]&lt;=45),"36-45",HR_Data[[#This Row],[Age]]&gt;45,"45+")</f>
        <v>26-35</v>
      </c>
      <c r="AL11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39" spans="1:38"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f>IF(HR_Data[[#This Row],[Attrition]]="Yes",1,0)</f>
        <v>0</v>
      </c>
      <c r="AK1139" t="str">
        <f>_xlfn.IFS(AND(HR_Data[[#This Row],[Age]]&gt;=18,HR_Data[[#This Row],[Age]]&lt;=25),"18-25",AND(HR_Data[[#This Row],[Age]]&gt;=26,HR_Data[[#This Row],[Age]]&lt;=35),"26-35",AND(HR_Data[[#This Row],[Age]]&gt;=36,HR_Data[[#This Row],[Age]]&lt;=45),"36-45",HR_Data[[#This Row],[Age]]&gt;45,"45+")</f>
        <v>18-25</v>
      </c>
      <c r="AL11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40" spans="1:38"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f>IF(HR_Data[[#This Row],[Attrition]]="Yes",1,0)</f>
        <v>0</v>
      </c>
      <c r="AK1140" t="str">
        <f>_xlfn.IFS(AND(HR_Data[[#This Row],[Age]]&gt;=18,HR_Data[[#This Row],[Age]]&lt;=25),"18-25",AND(HR_Data[[#This Row],[Age]]&gt;=26,HR_Data[[#This Row],[Age]]&lt;=35),"26-35",AND(HR_Data[[#This Row],[Age]]&gt;=36,HR_Data[[#This Row],[Age]]&lt;=45),"36-45",HR_Data[[#This Row],[Age]]&gt;45,"45+")</f>
        <v>45+</v>
      </c>
      <c r="AL11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41" spans="1:38"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f>IF(HR_Data[[#This Row],[Attrition]]="Yes",1,0)</f>
        <v>0</v>
      </c>
      <c r="AK1141" t="str">
        <f>_xlfn.IFS(AND(HR_Data[[#This Row],[Age]]&gt;=18,HR_Data[[#This Row],[Age]]&lt;=25),"18-25",AND(HR_Data[[#This Row],[Age]]&gt;=26,HR_Data[[#This Row],[Age]]&lt;=35),"26-35",AND(HR_Data[[#This Row],[Age]]&gt;=36,HR_Data[[#This Row],[Age]]&lt;=45),"36-45",HR_Data[[#This Row],[Age]]&gt;45,"45+")</f>
        <v>26-35</v>
      </c>
      <c r="AL11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42" spans="1:38"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f>IF(HR_Data[[#This Row],[Attrition]]="Yes",1,0)</f>
        <v>0</v>
      </c>
      <c r="AK1142" t="str">
        <f>_xlfn.IFS(AND(HR_Data[[#This Row],[Age]]&gt;=18,HR_Data[[#This Row],[Age]]&lt;=25),"18-25",AND(HR_Data[[#This Row],[Age]]&gt;=26,HR_Data[[#This Row],[Age]]&lt;=35),"26-35",AND(HR_Data[[#This Row],[Age]]&gt;=36,HR_Data[[#This Row],[Age]]&lt;=45),"36-45",HR_Data[[#This Row],[Age]]&gt;45,"45+")</f>
        <v>36-45</v>
      </c>
      <c r="AL11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43" spans="1:38"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f>IF(HR_Data[[#This Row],[Attrition]]="Yes",1,0)</f>
        <v>0</v>
      </c>
      <c r="AK1143" t="str">
        <f>_xlfn.IFS(AND(HR_Data[[#This Row],[Age]]&gt;=18,HR_Data[[#This Row],[Age]]&lt;=25),"18-25",AND(HR_Data[[#This Row],[Age]]&gt;=26,HR_Data[[#This Row],[Age]]&lt;=35),"26-35",AND(HR_Data[[#This Row],[Age]]&gt;=36,HR_Data[[#This Row],[Age]]&lt;=45),"36-45",HR_Data[[#This Row],[Age]]&gt;45,"45+")</f>
        <v>26-35</v>
      </c>
      <c r="AL11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44" spans="1:38"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f>IF(HR_Data[[#This Row],[Attrition]]="Yes",1,0)</f>
        <v>0</v>
      </c>
      <c r="AK1144" t="str">
        <f>_xlfn.IFS(AND(HR_Data[[#This Row],[Age]]&gt;=18,HR_Data[[#This Row],[Age]]&lt;=25),"18-25",AND(HR_Data[[#This Row],[Age]]&gt;=26,HR_Data[[#This Row],[Age]]&lt;=35),"26-35",AND(HR_Data[[#This Row],[Age]]&gt;=36,HR_Data[[#This Row],[Age]]&lt;=45),"36-45",HR_Data[[#This Row],[Age]]&gt;45,"45+")</f>
        <v>36-45</v>
      </c>
      <c r="AL11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45" spans="1:38"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f>IF(HR_Data[[#This Row],[Attrition]]="Yes",1,0)</f>
        <v>0</v>
      </c>
      <c r="AK1145" t="str">
        <f>_xlfn.IFS(AND(HR_Data[[#This Row],[Age]]&gt;=18,HR_Data[[#This Row],[Age]]&lt;=25),"18-25",AND(HR_Data[[#This Row],[Age]]&gt;=26,HR_Data[[#This Row],[Age]]&lt;=35),"26-35",AND(HR_Data[[#This Row],[Age]]&gt;=36,HR_Data[[#This Row],[Age]]&lt;=45),"36-45",HR_Data[[#This Row],[Age]]&gt;45,"45+")</f>
        <v>36-45</v>
      </c>
      <c r="AL11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46" spans="1:38"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f>IF(HR_Data[[#This Row],[Attrition]]="Yes",1,0)</f>
        <v>0</v>
      </c>
      <c r="AK1146" t="str">
        <f>_xlfn.IFS(AND(HR_Data[[#This Row],[Age]]&gt;=18,HR_Data[[#This Row],[Age]]&lt;=25),"18-25",AND(HR_Data[[#This Row],[Age]]&gt;=26,HR_Data[[#This Row],[Age]]&lt;=35),"26-35",AND(HR_Data[[#This Row],[Age]]&gt;=36,HR_Data[[#This Row],[Age]]&lt;=45),"36-45",HR_Data[[#This Row],[Age]]&gt;45,"45+")</f>
        <v>26-35</v>
      </c>
      <c r="AL11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47" spans="1:38"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f>IF(HR_Data[[#This Row],[Attrition]]="Yes",1,0)</f>
        <v>0</v>
      </c>
      <c r="AK1147" t="str">
        <f>_xlfn.IFS(AND(HR_Data[[#This Row],[Age]]&gt;=18,HR_Data[[#This Row],[Age]]&lt;=25),"18-25",AND(HR_Data[[#This Row],[Age]]&gt;=26,HR_Data[[#This Row],[Age]]&lt;=35),"26-35",AND(HR_Data[[#This Row],[Age]]&gt;=36,HR_Data[[#This Row],[Age]]&lt;=45),"36-45",HR_Data[[#This Row],[Age]]&gt;45,"45+")</f>
        <v>36-45</v>
      </c>
      <c r="AL11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48" spans="1:38"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f>IF(HR_Data[[#This Row],[Attrition]]="Yes",1,0)</f>
        <v>0</v>
      </c>
      <c r="AK1148" t="str">
        <f>_xlfn.IFS(AND(HR_Data[[#This Row],[Age]]&gt;=18,HR_Data[[#This Row],[Age]]&lt;=25),"18-25",AND(HR_Data[[#This Row],[Age]]&gt;=26,HR_Data[[#This Row],[Age]]&lt;=35),"26-35",AND(HR_Data[[#This Row],[Age]]&gt;=36,HR_Data[[#This Row],[Age]]&lt;=45),"36-45",HR_Data[[#This Row],[Age]]&gt;45,"45+")</f>
        <v>26-35</v>
      </c>
      <c r="AL11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49" spans="1:38"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f>IF(HR_Data[[#This Row],[Attrition]]="Yes",1,0)</f>
        <v>0</v>
      </c>
      <c r="AK1149" t="str">
        <f>_xlfn.IFS(AND(HR_Data[[#This Row],[Age]]&gt;=18,HR_Data[[#This Row],[Age]]&lt;=25),"18-25",AND(HR_Data[[#This Row],[Age]]&gt;=26,HR_Data[[#This Row],[Age]]&lt;=35),"26-35",AND(HR_Data[[#This Row],[Age]]&gt;=36,HR_Data[[#This Row],[Age]]&lt;=45),"36-45",HR_Data[[#This Row],[Age]]&gt;45,"45+")</f>
        <v>45+</v>
      </c>
      <c r="AL11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50" spans="1:38"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f>IF(HR_Data[[#This Row],[Attrition]]="Yes",1,0)</f>
        <v>0</v>
      </c>
      <c r="AK1150" t="str">
        <f>_xlfn.IFS(AND(HR_Data[[#This Row],[Age]]&gt;=18,HR_Data[[#This Row],[Age]]&lt;=25),"18-25",AND(HR_Data[[#This Row],[Age]]&gt;=26,HR_Data[[#This Row],[Age]]&lt;=35),"26-35",AND(HR_Data[[#This Row],[Age]]&gt;=36,HR_Data[[#This Row],[Age]]&lt;=45),"36-45",HR_Data[[#This Row],[Age]]&gt;45,"45+")</f>
        <v>36-45</v>
      </c>
      <c r="AL11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51" spans="1:38"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f>IF(HR_Data[[#This Row],[Attrition]]="Yes",1,0)</f>
        <v>0</v>
      </c>
      <c r="AK1151" t="str">
        <f>_xlfn.IFS(AND(HR_Data[[#This Row],[Age]]&gt;=18,HR_Data[[#This Row],[Age]]&lt;=25),"18-25",AND(HR_Data[[#This Row],[Age]]&gt;=26,HR_Data[[#This Row],[Age]]&lt;=35),"26-35",AND(HR_Data[[#This Row],[Age]]&gt;=36,HR_Data[[#This Row],[Age]]&lt;=45),"36-45",HR_Data[[#This Row],[Age]]&gt;45,"45+")</f>
        <v>26-35</v>
      </c>
      <c r="AL11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52" spans="1:38"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f>IF(HR_Data[[#This Row],[Attrition]]="Yes",1,0)</f>
        <v>0</v>
      </c>
      <c r="AK1152" t="str">
        <f>_xlfn.IFS(AND(HR_Data[[#This Row],[Age]]&gt;=18,HR_Data[[#This Row],[Age]]&lt;=25),"18-25",AND(HR_Data[[#This Row],[Age]]&gt;=26,HR_Data[[#This Row],[Age]]&lt;=35),"26-35",AND(HR_Data[[#This Row],[Age]]&gt;=36,HR_Data[[#This Row],[Age]]&lt;=45),"36-45",HR_Data[[#This Row],[Age]]&gt;45,"45+")</f>
        <v>26-35</v>
      </c>
      <c r="AL11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53" spans="1:38"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f>IF(HR_Data[[#This Row],[Attrition]]="Yes",1,0)</f>
        <v>0</v>
      </c>
      <c r="AK1153" t="str">
        <f>_xlfn.IFS(AND(HR_Data[[#This Row],[Age]]&gt;=18,HR_Data[[#This Row],[Age]]&lt;=25),"18-25",AND(HR_Data[[#This Row],[Age]]&gt;=26,HR_Data[[#This Row],[Age]]&lt;=35),"26-35",AND(HR_Data[[#This Row],[Age]]&gt;=36,HR_Data[[#This Row],[Age]]&lt;=45),"36-45",HR_Data[[#This Row],[Age]]&gt;45,"45+")</f>
        <v>26-35</v>
      </c>
      <c r="AL11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54" spans="1:38"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f>IF(HR_Data[[#This Row],[Attrition]]="Yes",1,0)</f>
        <v>0</v>
      </c>
      <c r="AK1154" t="str">
        <f>_xlfn.IFS(AND(HR_Data[[#This Row],[Age]]&gt;=18,HR_Data[[#This Row],[Age]]&lt;=25),"18-25",AND(HR_Data[[#This Row],[Age]]&gt;=26,HR_Data[[#This Row],[Age]]&lt;=35),"26-35",AND(HR_Data[[#This Row],[Age]]&gt;=36,HR_Data[[#This Row],[Age]]&lt;=45),"36-45",HR_Data[[#This Row],[Age]]&gt;45,"45+")</f>
        <v>18-25</v>
      </c>
      <c r="AL11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55" spans="1:38"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f>IF(HR_Data[[#This Row],[Attrition]]="Yes",1,0)</f>
        <v>1</v>
      </c>
      <c r="AK1155" t="str">
        <f>_xlfn.IFS(AND(HR_Data[[#This Row],[Age]]&gt;=18,HR_Data[[#This Row],[Age]]&lt;=25),"18-25",AND(HR_Data[[#This Row],[Age]]&gt;=26,HR_Data[[#This Row],[Age]]&lt;=35),"26-35",AND(HR_Data[[#This Row],[Age]]&gt;=36,HR_Data[[#This Row],[Age]]&lt;=45),"36-45",HR_Data[[#This Row],[Age]]&gt;45,"45+")</f>
        <v>18-25</v>
      </c>
      <c r="AL11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56" spans="1:38"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f>IF(HR_Data[[#This Row],[Attrition]]="Yes",1,0)</f>
        <v>0</v>
      </c>
      <c r="AK1156" t="str">
        <f>_xlfn.IFS(AND(HR_Data[[#This Row],[Age]]&gt;=18,HR_Data[[#This Row],[Age]]&lt;=25),"18-25",AND(HR_Data[[#This Row],[Age]]&gt;=26,HR_Data[[#This Row],[Age]]&lt;=35),"26-35",AND(HR_Data[[#This Row],[Age]]&gt;=36,HR_Data[[#This Row],[Age]]&lt;=45),"36-45",HR_Data[[#This Row],[Age]]&gt;45,"45+")</f>
        <v>45+</v>
      </c>
      <c r="AL11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57" spans="1:38"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f>IF(HR_Data[[#This Row],[Attrition]]="Yes",1,0)</f>
        <v>0</v>
      </c>
      <c r="AK1157" t="str">
        <f>_xlfn.IFS(AND(HR_Data[[#This Row],[Age]]&gt;=18,HR_Data[[#This Row],[Age]]&lt;=25),"18-25",AND(HR_Data[[#This Row],[Age]]&gt;=26,HR_Data[[#This Row],[Age]]&lt;=35),"26-35",AND(HR_Data[[#This Row],[Age]]&gt;=36,HR_Data[[#This Row],[Age]]&lt;=45),"36-45",HR_Data[[#This Row],[Age]]&gt;45,"45+")</f>
        <v>36-45</v>
      </c>
      <c r="AL11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58" spans="1:38"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f>IF(HR_Data[[#This Row],[Attrition]]="Yes",1,0)</f>
        <v>0</v>
      </c>
      <c r="AK1158" t="str">
        <f>_xlfn.IFS(AND(HR_Data[[#This Row],[Age]]&gt;=18,HR_Data[[#This Row],[Age]]&lt;=25),"18-25",AND(HR_Data[[#This Row],[Age]]&gt;=26,HR_Data[[#This Row],[Age]]&lt;=35),"26-35",AND(HR_Data[[#This Row],[Age]]&gt;=36,HR_Data[[#This Row],[Age]]&lt;=45),"36-45",HR_Data[[#This Row],[Age]]&gt;45,"45+")</f>
        <v>36-45</v>
      </c>
      <c r="AL11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59" spans="1:38"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f>IF(HR_Data[[#This Row],[Attrition]]="Yes",1,0)</f>
        <v>0</v>
      </c>
      <c r="AK1159" t="str">
        <f>_xlfn.IFS(AND(HR_Data[[#This Row],[Age]]&gt;=18,HR_Data[[#This Row],[Age]]&lt;=25),"18-25",AND(HR_Data[[#This Row],[Age]]&gt;=26,HR_Data[[#This Row],[Age]]&lt;=35),"26-35",AND(HR_Data[[#This Row],[Age]]&gt;=36,HR_Data[[#This Row],[Age]]&lt;=45),"36-45",HR_Data[[#This Row],[Age]]&gt;45,"45+")</f>
        <v>26-35</v>
      </c>
      <c r="AL11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60" spans="1:38"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f>IF(HR_Data[[#This Row],[Attrition]]="Yes",1,0)</f>
        <v>0</v>
      </c>
      <c r="AK1160" t="str">
        <f>_xlfn.IFS(AND(HR_Data[[#This Row],[Age]]&gt;=18,HR_Data[[#This Row],[Age]]&lt;=25),"18-25",AND(HR_Data[[#This Row],[Age]]&gt;=26,HR_Data[[#This Row],[Age]]&lt;=35),"26-35",AND(HR_Data[[#This Row],[Age]]&gt;=36,HR_Data[[#This Row],[Age]]&lt;=45),"36-45",HR_Data[[#This Row],[Age]]&gt;45,"45+")</f>
        <v>36-45</v>
      </c>
      <c r="AL11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61" spans="1:38"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f>IF(HR_Data[[#This Row],[Attrition]]="Yes",1,0)</f>
        <v>0</v>
      </c>
      <c r="AK1161" t="str">
        <f>_xlfn.IFS(AND(HR_Data[[#This Row],[Age]]&gt;=18,HR_Data[[#This Row],[Age]]&lt;=25),"18-25",AND(HR_Data[[#This Row],[Age]]&gt;=26,HR_Data[[#This Row],[Age]]&lt;=35),"26-35",AND(HR_Data[[#This Row],[Age]]&gt;=36,HR_Data[[#This Row],[Age]]&lt;=45),"36-45",HR_Data[[#This Row],[Age]]&gt;45,"45+")</f>
        <v>36-45</v>
      </c>
      <c r="AL11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62" spans="1:38"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f>IF(HR_Data[[#This Row],[Attrition]]="Yes",1,0)</f>
        <v>0</v>
      </c>
      <c r="AK1162" t="str">
        <f>_xlfn.IFS(AND(HR_Data[[#This Row],[Age]]&gt;=18,HR_Data[[#This Row],[Age]]&lt;=25),"18-25",AND(HR_Data[[#This Row],[Age]]&gt;=26,HR_Data[[#This Row],[Age]]&lt;=35),"26-35",AND(HR_Data[[#This Row],[Age]]&gt;=36,HR_Data[[#This Row],[Age]]&lt;=45),"36-45",HR_Data[[#This Row],[Age]]&gt;45,"45+")</f>
        <v>36-45</v>
      </c>
      <c r="AL11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63" spans="1:38"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f>IF(HR_Data[[#This Row],[Attrition]]="Yes",1,0)</f>
        <v>0</v>
      </c>
      <c r="AK1163" t="str">
        <f>_xlfn.IFS(AND(HR_Data[[#This Row],[Age]]&gt;=18,HR_Data[[#This Row],[Age]]&lt;=25),"18-25",AND(HR_Data[[#This Row],[Age]]&gt;=26,HR_Data[[#This Row],[Age]]&lt;=35),"26-35",AND(HR_Data[[#This Row],[Age]]&gt;=36,HR_Data[[#This Row],[Age]]&lt;=45),"36-45",HR_Data[[#This Row],[Age]]&gt;45,"45+")</f>
        <v>36-45</v>
      </c>
      <c r="AL11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64" spans="1:38"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f>IF(HR_Data[[#This Row],[Attrition]]="Yes",1,0)</f>
        <v>1</v>
      </c>
      <c r="AK1164" t="str">
        <f>_xlfn.IFS(AND(HR_Data[[#This Row],[Age]]&gt;=18,HR_Data[[#This Row],[Age]]&lt;=25),"18-25",AND(HR_Data[[#This Row],[Age]]&gt;=26,HR_Data[[#This Row],[Age]]&lt;=35),"26-35",AND(HR_Data[[#This Row],[Age]]&gt;=36,HR_Data[[#This Row],[Age]]&lt;=45),"36-45",HR_Data[[#This Row],[Age]]&gt;45,"45+")</f>
        <v>26-35</v>
      </c>
      <c r="AL11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65" spans="1:38"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f>IF(HR_Data[[#This Row],[Attrition]]="Yes",1,0)</f>
        <v>0</v>
      </c>
      <c r="AK1165" t="str">
        <f>_xlfn.IFS(AND(HR_Data[[#This Row],[Age]]&gt;=18,HR_Data[[#This Row],[Age]]&lt;=25),"18-25",AND(HR_Data[[#This Row],[Age]]&gt;=26,HR_Data[[#This Row],[Age]]&lt;=35),"26-35",AND(HR_Data[[#This Row],[Age]]&gt;=36,HR_Data[[#This Row],[Age]]&lt;=45),"36-45",HR_Data[[#This Row],[Age]]&gt;45,"45+")</f>
        <v>36-45</v>
      </c>
      <c r="AL11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66" spans="1:38"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f>IF(HR_Data[[#This Row],[Attrition]]="Yes",1,0)</f>
        <v>0</v>
      </c>
      <c r="AK1166" t="str">
        <f>_xlfn.IFS(AND(HR_Data[[#This Row],[Age]]&gt;=18,HR_Data[[#This Row],[Age]]&lt;=25),"18-25",AND(HR_Data[[#This Row],[Age]]&gt;=26,HR_Data[[#This Row],[Age]]&lt;=35),"26-35",AND(HR_Data[[#This Row],[Age]]&gt;=36,HR_Data[[#This Row],[Age]]&lt;=45),"36-45",HR_Data[[#This Row],[Age]]&gt;45,"45+")</f>
        <v>36-45</v>
      </c>
      <c r="AL11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67" spans="1:38"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f>IF(HR_Data[[#This Row],[Attrition]]="Yes",1,0)</f>
        <v>0</v>
      </c>
      <c r="AK1167" t="str">
        <f>_xlfn.IFS(AND(HR_Data[[#This Row],[Age]]&gt;=18,HR_Data[[#This Row],[Age]]&lt;=25),"18-25",AND(HR_Data[[#This Row],[Age]]&gt;=26,HR_Data[[#This Row],[Age]]&lt;=35),"26-35",AND(HR_Data[[#This Row],[Age]]&gt;=36,HR_Data[[#This Row],[Age]]&lt;=45),"36-45",HR_Data[[#This Row],[Age]]&gt;45,"45+")</f>
        <v>36-45</v>
      </c>
      <c r="AL11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68" spans="1:38"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f>IF(HR_Data[[#This Row],[Attrition]]="Yes",1,0)</f>
        <v>0</v>
      </c>
      <c r="AK1168" t="str">
        <f>_xlfn.IFS(AND(HR_Data[[#This Row],[Age]]&gt;=18,HR_Data[[#This Row],[Age]]&lt;=25),"18-25",AND(HR_Data[[#This Row],[Age]]&gt;=26,HR_Data[[#This Row],[Age]]&lt;=35),"26-35",AND(HR_Data[[#This Row],[Age]]&gt;=36,HR_Data[[#This Row],[Age]]&lt;=45),"36-45",HR_Data[[#This Row],[Age]]&gt;45,"45+")</f>
        <v>45+</v>
      </c>
      <c r="AL11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69" spans="1:38"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f>IF(HR_Data[[#This Row],[Attrition]]="Yes",1,0)</f>
        <v>1</v>
      </c>
      <c r="AK1169" t="str">
        <f>_xlfn.IFS(AND(HR_Data[[#This Row],[Age]]&gt;=18,HR_Data[[#This Row],[Age]]&lt;=25),"18-25",AND(HR_Data[[#This Row],[Age]]&gt;=26,HR_Data[[#This Row],[Age]]&lt;=35),"26-35",AND(HR_Data[[#This Row],[Age]]&gt;=36,HR_Data[[#This Row],[Age]]&lt;=45),"36-45",HR_Data[[#This Row],[Age]]&gt;45,"45+")</f>
        <v>26-35</v>
      </c>
      <c r="AL11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70" spans="1:38"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f>IF(HR_Data[[#This Row],[Attrition]]="Yes",1,0)</f>
        <v>0</v>
      </c>
      <c r="AK1170" t="str">
        <f>_xlfn.IFS(AND(HR_Data[[#This Row],[Age]]&gt;=18,HR_Data[[#This Row],[Age]]&lt;=25),"18-25",AND(HR_Data[[#This Row],[Age]]&gt;=26,HR_Data[[#This Row],[Age]]&lt;=35),"26-35",AND(HR_Data[[#This Row],[Age]]&gt;=36,HR_Data[[#This Row],[Age]]&lt;=45),"36-45",HR_Data[[#This Row],[Age]]&gt;45,"45+")</f>
        <v>18-25</v>
      </c>
      <c r="AL11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71" spans="1:38"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f>IF(HR_Data[[#This Row],[Attrition]]="Yes",1,0)</f>
        <v>0</v>
      </c>
      <c r="AK1171" t="str">
        <f>_xlfn.IFS(AND(HR_Data[[#This Row],[Age]]&gt;=18,HR_Data[[#This Row],[Age]]&lt;=25),"18-25",AND(HR_Data[[#This Row],[Age]]&gt;=26,HR_Data[[#This Row],[Age]]&lt;=35),"26-35",AND(HR_Data[[#This Row],[Age]]&gt;=36,HR_Data[[#This Row],[Age]]&lt;=45),"36-45",HR_Data[[#This Row],[Age]]&gt;45,"45+")</f>
        <v>26-35</v>
      </c>
      <c r="AL11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72" spans="1:38"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f>IF(HR_Data[[#This Row],[Attrition]]="Yes",1,0)</f>
        <v>0</v>
      </c>
      <c r="AK1172" t="str">
        <f>_xlfn.IFS(AND(HR_Data[[#This Row],[Age]]&gt;=18,HR_Data[[#This Row],[Age]]&lt;=25),"18-25",AND(HR_Data[[#This Row],[Age]]&gt;=26,HR_Data[[#This Row],[Age]]&lt;=35),"26-35",AND(HR_Data[[#This Row],[Age]]&gt;=36,HR_Data[[#This Row],[Age]]&lt;=45),"36-45",HR_Data[[#This Row],[Age]]&gt;45,"45+")</f>
        <v>26-35</v>
      </c>
      <c r="AL11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73" spans="1:38"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f>IF(HR_Data[[#This Row],[Attrition]]="Yes",1,0)</f>
        <v>1</v>
      </c>
      <c r="AK1173" t="str">
        <f>_xlfn.IFS(AND(HR_Data[[#This Row],[Age]]&gt;=18,HR_Data[[#This Row],[Age]]&lt;=25),"18-25",AND(HR_Data[[#This Row],[Age]]&gt;=26,HR_Data[[#This Row],[Age]]&lt;=35),"26-35",AND(HR_Data[[#This Row],[Age]]&gt;=36,HR_Data[[#This Row],[Age]]&lt;=45),"36-45",HR_Data[[#This Row],[Age]]&gt;45,"45+")</f>
        <v>36-45</v>
      </c>
      <c r="AL11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74" spans="1:38"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f>IF(HR_Data[[#This Row],[Attrition]]="Yes",1,0)</f>
        <v>0</v>
      </c>
      <c r="AK1174" t="str">
        <f>_xlfn.IFS(AND(HR_Data[[#This Row],[Age]]&gt;=18,HR_Data[[#This Row],[Age]]&lt;=25),"18-25",AND(HR_Data[[#This Row],[Age]]&gt;=26,HR_Data[[#This Row],[Age]]&lt;=35),"26-35",AND(HR_Data[[#This Row],[Age]]&gt;=36,HR_Data[[#This Row],[Age]]&lt;=45),"36-45",HR_Data[[#This Row],[Age]]&gt;45,"45+")</f>
        <v>26-35</v>
      </c>
      <c r="AL11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75" spans="1:38"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f>IF(HR_Data[[#This Row],[Attrition]]="Yes",1,0)</f>
        <v>0</v>
      </c>
      <c r="AK1175" t="str">
        <f>_xlfn.IFS(AND(HR_Data[[#This Row],[Age]]&gt;=18,HR_Data[[#This Row],[Age]]&lt;=25),"18-25",AND(HR_Data[[#This Row],[Age]]&gt;=26,HR_Data[[#This Row],[Age]]&lt;=35),"26-35",AND(HR_Data[[#This Row],[Age]]&gt;=36,HR_Data[[#This Row],[Age]]&lt;=45),"36-45",HR_Data[[#This Row],[Age]]&gt;45,"45+")</f>
        <v>36-45</v>
      </c>
      <c r="AL11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76" spans="1:38"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f>IF(HR_Data[[#This Row],[Attrition]]="Yes",1,0)</f>
        <v>0</v>
      </c>
      <c r="AK1176" t="str">
        <f>_xlfn.IFS(AND(HR_Data[[#This Row],[Age]]&gt;=18,HR_Data[[#This Row],[Age]]&lt;=25),"18-25",AND(HR_Data[[#This Row],[Age]]&gt;=26,HR_Data[[#This Row],[Age]]&lt;=35),"26-35",AND(HR_Data[[#This Row],[Age]]&gt;=36,HR_Data[[#This Row],[Age]]&lt;=45),"36-45",HR_Data[[#This Row],[Age]]&gt;45,"45+")</f>
        <v>18-25</v>
      </c>
      <c r="AL11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77" spans="1:38"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f>IF(HR_Data[[#This Row],[Attrition]]="Yes",1,0)</f>
        <v>0</v>
      </c>
      <c r="AK1177" t="str">
        <f>_xlfn.IFS(AND(HR_Data[[#This Row],[Age]]&gt;=18,HR_Data[[#This Row],[Age]]&lt;=25),"18-25",AND(HR_Data[[#This Row],[Age]]&gt;=26,HR_Data[[#This Row],[Age]]&lt;=35),"26-35",AND(HR_Data[[#This Row],[Age]]&gt;=36,HR_Data[[#This Row],[Age]]&lt;=45),"36-45",HR_Data[[#This Row],[Age]]&gt;45,"45+")</f>
        <v>36-45</v>
      </c>
      <c r="AL11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78" spans="1:38"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f>IF(HR_Data[[#This Row],[Attrition]]="Yes",1,0)</f>
        <v>0</v>
      </c>
      <c r="AK1178" t="str">
        <f>_xlfn.IFS(AND(HR_Data[[#This Row],[Age]]&gt;=18,HR_Data[[#This Row],[Age]]&lt;=25),"18-25",AND(HR_Data[[#This Row],[Age]]&gt;=26,HR_Data[[#This Row],[Age]]&lt;=35),"26-35",AND(HR_Data[[#This Row],[Age]]&gt;=36,HR_Data[[#This Row],[Age]]&lt;=45),"36-45",HR_Data[[#This Row],[Age]]&gt;45,"45+")</f>
        <v>45+</v>
      </c>
      <c r="AL11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79" spans="1:38"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f>IF(HR_Data[[#This Row],[Attrition]]="Yes",1,0)</f>
        <v>0</v>
      </c>
      <c r="AK1179" t="str">
        <f>_xlfn.IFS(AND(HR_Data[[#This Row],[Age]]&gt;=18,HR_Data[[#This Row],[Age]]&lt;=25),"18-25",AND(HR_Data[[#This Row],[Age]]&gt;=26,HR_Data[[#This Row],[Age]]&lt;=35),"26-35",AND(HR_Data[[#This Row],[Age]]&gt;=36,HR_Data[[#This Row],[Age]]&lt;=45),"36-45",HR_Data[[#This Row],[Age]]&gt;45,"45+")</f>
        <v>45+</v>
      </c>
      <c r="AL11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80" spans="1:38"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f>IF(HR_Data[[#This Row],[Attrition]]="Yes",1,0)</f>
        <v>0</v>
      </c>
      <c r="AK1180" t="str">
        <f>_xlfn.IFS(AND(HR_Data[[#This Row],[Age]]&gt;=18,HR_Data[[#This Row],[Age]]&lt;=25),"18-25",AND(HR_Data[[#This Row],[Age]]&gt;=26,HR_Data[[#This Row],[Age]]&lt;=35),"26-35",AND(HR_Data[[#This Row],[Age]]&gt;=36,HR_Data[[#This Row],[Age]]&lt;=45),"36-45",HR_Data[[#This Row],[Age]]&gt;45,"45+")</f>
        <v>18-25</v>
      </c>
      <c r="AL11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81" spans="1:38"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f>IF(HR_Data[[#This Row],[Attrition]]="Yes",1,0)</f>
        <v>0</v>
      </c>
      <c r="AK1181" t="str">
        <f>_xlfn.IFS(AND(HR_Data[[#This Row],[Age]]&gt;=18,HR_Data[[#This Row],[Age]]&lt;=25),"18-25",AND(HR_Data[[#This Row],[Age]]&gt;=26,HR_Data[[#This Row],[Age]]&lt;=35),"26-35",AND(HR_Data[[#This Row],[Age]]&gt;=36,HR_Data[[#This Row],[Age]]&lt;=45),"36-45",HR_Data[[#This Row],[Age]]&gt;45,"45+")</f>
        <v>26-35</v>
      </c>
      <c r="AL11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82" spans="1:38"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f>IF(HR_Data[[#This Row],[Attrition]]="Yes",1,0)</f>
        <v>0</v>
      </c>
      <c r="AK1182" t="str">
        <f>_xlfn.IFS(AND(HR_Data[[#This Row],[Age]]&gt;=18,HR_Data[[#This Row],[Age]]&lt;=25),"18-25",AND(HR_Data[[#This Row],[Age]]&gt;=26,HR_Data[[#This Row],[Age]]&lt;=35),"26-35",AND(HR_Data[[#This Row],[Age]]&gt;=36,HR_Data[[#This Row],[Age]]&lt;=45),"36-45",HR_Data[[#This Row],[Age]]&gt;45,"45+")</f>
        <v>36-45</v>
      </c>
      <c r="AL11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83" spans="1:38"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f>IF(HR_Data[[#This Row],[Attrition]]="Yes",1,0)</f>
        <v>0</v>
      </c>
      <c r="AK1183" t="str">
        <f>_xlfn.IFS(AND(HR_Data[[#This Row],[Age]]&gt;=18,HR_Data[[#This Row],[Age]]&lt;=25),"18-25",AND(HR_Data[[#This Row],[Age]]&gt;=26,HR_Data[[#This Row],[Age]]&lt;=35),"26-35",AND(HR_Data[[#This Row],[Age]]&gt;=36,HR_Data[[#This Row],[Age]]&lt;=45),"36-45",HR_Data[[#This Row],[Age]]&gt;45,"45+")</f>
        <v>45+</v>
      </c>
      <c r="AL11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84" spans="1:38"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f>IF(HR_Data[[#This Row],[Attrition]]="Yes",1,0)</f>
        <v>0</v>
      </c>
      <c r="AK1184" t="str">
        <f>_xlfn.IFS(AND(HR_Data[[#This Row],[Age]]&gt;=18,HR_Data[[#This Row],[Age]]&lt;=25),"18-25",AND(HR_Data[[#This Row],[Age]]&gt;=26,HR_Data[[#This Row],[Age]]&lt;=35),"26-35",AND(HR_Data[[#This Row],[Age]]&gt;=36,HR_Data[[#This Row],[Age]]&lt;=45),"36-45",HR_Data[[#This Row],[Age]]&gt;45,"45+")</f>
        <v>36-45</v>
      </c>
      <c r="AL11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85" spans="1:38"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f>IF(HR_Data[[#This Row],[Attrition]]="Yes",1,0)</f>
        <v>0</v>
      </c>
      <c r="AK1185" t="str">
        <f>_xlfn.IFS(AND(HR_Data[[#This Row],[Age]]&gt;=18,HR_Data[[#This Row],[Age]]&lt;=25),"18-25",AND(HR_Data[[#This Row],[Age]]&gt;=26,HR_Data[[#This Row],[Age]]&lt;=35),"26-35",AND(HR_Data[[#This Row],[Age]]&gt;=36,HR_Data[[#This Row],[Age]]&lt;=45),"36-45",HR_Data[[#This Row],[Age]]&gt;45,"45+")</f>
        <v>36-45</v>
      </c>
      <c r="AL11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86" spans="1:38"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f>IF(HR_Data[[#This Row],[Attrition]]="Yes",1,0)</f>
        <v>0</v>
      </c>
      <c r="AK1186" t="str">
        <f>_xlfn.IFS(AND(HR_Data[[#This Row],[Age]]&gt;=18,HR_Data[[#This Row],[Age]]&lt;=25),"18-25",AND(HR_Data[[#This Row],[Age]]&gt;=26,HR_Data[[#This Row],[Age]]&lt;=35),"26-35",AND(HR_Data[[#This Row],[Age]]&gt;=36,HR_Data[[#This Row],[Age]]&lt;=45),"36-45",HR_Data[[#This Row],[Age]]&gt;45,"45+")</f>
        <v>45+</v>
      </c>
      <c r="AL11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87" spans="1:38"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f>IF(HR_Data[[#This Row],[Attrition]]="Yes",1,0)</f>
        <v>0</v>
      </c>
      <c r="AK1187" t="str">
        <f>_xlfn.IFS(AND(HR_Data[[#This Row],[Age]]&gt;=18,HR_Data[[#This Row],[Age]]&lt;=25),"18-25",AND(HR_Data[[#This Row],[Age]]&gt;=26,HR_Data[[#This Row],[Age]]&lt;=35),"26-35",AND(HR_Data[[#This Row],[Age]]&gt;=36,HR_Data[[#This Row],[Age]]&lt;=45),"36-45",HR_Data[[#This Row],[Age]]&gt;45,"45+")</f>
        <v>36-45</v>
      </c>
      <c r="AL11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88" spans="1:38"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f>IF(HR_Data[[#This Row],[Attrition]]="Yes",1,0)</f>
        <v>1</v>
      </c>
      <c r="AK1188" t="str">
        <f>_xlfn.IFS(AND(HR_Data[[#This Row],[Age]]&gt;=18,HR_Data[[#This Row],[Age]]&lt;=25),"18-25",AND(HR_Data[[#This Row],[Age]]&gt;=26,HR_Data[[#This Row],[Age]]&lt;=35),"26-35",AND(HR_Data[[#This Row],[Age]]&gt;=36,HR_Data[[#This Row],[Age]]&lt;=45),"36-45",HR_Data[[#This Row],[Age]]&gt;45,"45+")</f>
        <v>26-35</v>
      </c>
      <c r="AL11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89" spans="1:38"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f>IF(HR_Data[[#This Row],[Attrition]]="Yes",1,0)</f>
        <v>0</v>
      </c>
      <c r="AK1189" t="str">
        <f>_xlfn.IFS(AND(HR_Data[[#This Row],[Age]]&gt;=18,HR_Data[[#This Row],[Age]]&lt;=25),"18-25",AND(HR_Data[[#This Row],[Age]]&gt;=26,HR_Data[[#This Row],[Age]]&lt;=35),"26-35",AND(HR_Data[[#This Row],[Age]]&gt;=36,HR_Data[[#This Row],[Age]]&lt;=45),"36-45",HR_Data[[#This Row],[Age]]&gt;45,"45+")</f>
        <v>36-45</v>
      </c>
      <c r="AL11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190" spans="1:38"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f>IF(HR_Data[[#This Row],[Attrition]]="Yes",1,0)</f>
        <v>0</v>
      </c>
      <c r="AK1190" t="str">
        <f>_xlfn.IFS(AND(HR_Data[[#This Row],[Age]]&gt;=18,HR_Data[[#This Row],[Age]]&lt;=25),"18-25",AND(HR_Data[[#This Row],[Age]]&gt;=26,HR_Data[[#This Row],[Age]]&lt;=35),"26-35",AND(HR_Data[[#This Row],[Age]]&gt;=36,HR_Data[[#This Row],[Age]]&lt;=45),"36-45",HR_Data[[#This Row],[Age]]&gt;45,"45+")</f>
        <v>26-35</v>
      </c>
      <c r="AL11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91" spans="1:38"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f>IF(HR_Data[[#This Row],[Attrition]]="Yes",1,0)</f>
        <v>0</v>
      </c>
      <c r="AK1191" t="str">
        <f>_xlfn.IFS(AND(HR_Data[[#This Row],[Age]]&gt;=18,HR_Data[[#This Row],[Age]]&lt;=25),"18-25",AND(HR_Data[[#This Row],[Age]]&gt;=26,HR_Data[[#This Row],[Age]]&lt;=35),"26-35",AND(HR_Data[[#This Row],[Age]]&gt;=36,HR_Data[[#This Row],[Age]]&lt;=45),"36-45",HR_Data[[#This Row],[Age]]&gt;45,"45+")</f>
        <v>26-35</v>
      </c>
      <c r="AL11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92" spans="1:38"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f>IF(HR_Data[[#This Row],[Attrition]]="Yes",1,0)</f>
        <v>0</v>
      </c>
      <c r="AK1192" t="str">
        <f>_xlfn.IFS(AND(HR_Data[[#This Row],[Age]]&gt;=18,HR_Data[[#This Row],[Age]]&lt;=25),"18-25",AND(HR_Data[[#This Row],[Age]]&gt;=26,HR_Data[[#This Row],[Age]]&lt;=35),"26-35",AND(HR_Data[[#This Row],[Age]]&gt;=36,HR_Data[[#This Row],[Age]]&lt;=45),"36-45",HR_Data[[#This Row],[Age]]&gt;45,"45+")</f>
        <v>26-35</v>
      </c>
      <c r="AL11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93" spans="1:38"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f>IF(HR_Data[[#This Row],[Attrition]]="Yes",1,0)</f>
        <v>0</v>
      </c>
      <c r="AK1193" t="str">
        <f>_xlfn.IFS(AND(HR_Data[[#This Row],[Age]]&gt;=18,HR_Data[[#This Row],[Age]]&lt;=25),"18-25",AND(HR_Data[[#This Row],[Age]]&gt;=26,HR_Data[[#This Row],[Age]]&lt;=35),"26-35",AND(HR_Data[[#This Row],[Age]]&gt;=36,HR_Data[[#This Row],[Age]]&lt;=45),"36-45",HR_Data[[#This Row],[Age]]&gt;45,"45+")</f>
        <v>26-35</v>
      </c>
      <c r="AL11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94" spans="1:38"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f>IF(HR_Data[[#This Row],[Attrition]]="Yes",1,0)</f>
        <v>0</v>
      </c>
      <c r="AK1194" t="str">
        <f>_xlfn.IFS(AND(HR_Data[[#This Row],[Age]]&gt;=18,HR_Data[[#This Row],[Age]]&lt;=25),"18-25",AND(HR_Data[[#This Row],[Age]]&gt;=26,HR_Data[[#This Row],[Age]]&lt;=35),"26-35",AND(HR_Data[[#This Row],[Age]]&gt;=36,HR_Data[[#This Row],[Age]]&lt;=45),"36-45",HR_Data[[#This Row],[Age]]&gt;45,"45+")</f>
        <v>45+</v>
      </c>
      <c r="AL11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95" spans="1:38"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f>IF(HR_Data[[#This Row],[Attrition]]="Yes",1,0)</f>
        <v>0</v>
      </c>
      <c r="AK1195" t="str">
        <f>_xlfn.IFS(AND(HR_Data[[#This Row],[Age]]&gt;=18,HR_Data[[#This Row],[Age]]&lt;=25),"18-25",AND(HR_Data[[#This Row],[Age]]&gt;=26,HR_Data[[#This Row],[Age]]&lt;=35),"26-35",AND(HR_Data[[#This Row],[Age]]&gt;=36,HR_Data[[#This Row],[Age]]&lt;=45),"36-45",HR_Data[[#This Row],[Age]]&gt;45,"45+")</f>
        <v>36-45</v>
      </c>
      <c r="AL11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96" spans="1:38"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f>IF(HR_Data[[#This Row],[Attrition]]="Yes",1,0)</f>
        <v>0</v>
      </c>
      <c r="AK1196" t="str">
        <f>_xlfn.IFS(AND(HR_Data[[#This Row],[Age]]&gt;=18,HR_Data[[#This Row],[Age]]&lt;=25),"18-25",AND(HR_Data[[#This Row],[Age]]&gt;=26,HR_Data[[#This Row],[Age]]&lt;=35),"26-35",AND(HR_Data[[#This Row],[Age]]&gt;=36,HR_Data[[#This Row],[Age]]&lt;=45),"36-45",HR_Data[[#This Row],[Age]]&gt;45,"45+")</f>
        <v>45+</v>
      </c>
      <c r="AL11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197" spans="1:38"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f>IF(HR_Data[[#This Row],[Attrition]]="Yes",1,0)</f>
        <v>0</v>
      </c>
      <c r="AK1197" t="str">
        <f>_xlfn.IFS(AND(HR_Data[[#This Row],[Age]]&gt;=18,HR_Data[[#This Row],[Age]]&lt;=25),"18-25",AND(HR_Data[[#This Row],[Age]]&gt;=26,HR_Data[[#This Row],[Age]]&lt;=35),"26-35",AND(HR_Data[[#This Row],[Age]]&gt;=36,HR_Data[[#This Row],[Age]]&lt;=45),"36-45",HR_Data[[#This Row],[Age]]&gt;45,"45+")</f>
        <v>45+</v>
      </c>
      <c r="AL11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198" spans="1:38"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f>IF(HR_Data[[#This Row],[Attrition]]="Yes",1,0)</f>
        <v>0</v>
      </c>
      <c r="AK1198" t="str">
        <f>_xlfn.IFS(AND(HR_Data[[#This Row],[Age]]&gt;=18,HR_Data[[#This Row],[Age]]&lt;=25),"18-25",AND(HR_Data[[#This Row],[Age]]&gt;=26,HR_Data[[#This Row],[Age]]&lt;=35),"26-35",AND(HR_Data[[#This Row],[Age]]&gt;=36,HR_Data[[#This Row],[Age]]&lt;=45),"36-45",HR_Data[[#This Row],[Age]]&gt;45,"45+")</f>
        <v>36-45</v>
      </c>
      <c r="AL11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199" spans="1:38"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f>IF(HR_Data[[#This Row],[Attrition]]="Yes",1,0)</f>
        <v>0</v>
      </c>
      <c r="AK1199" t="str">
        <f>_xlfn.IFS(AND(HR_Data[[#This Row],[Age]]&gt;=18,HR_Data[[#This Row],[Age]]&lt;=25),"18-25",AND(HR_Data[[#This Row],[Age]]&gt;=26,HR_Data[[#This Row],[Age]]&lt;=35),"26-35",AND(HR_Data[[#This Row],[Age]]&gt;=36,HR_Data[[#This Row],[Age]]&lt;=45),"36-45",HR_Data[[#This Row],[Age]]&gt;45,"45+")</f>
        <v>18-25</v>
      </c>
      <c r="AL11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00" spans="1:38"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f>IF(HR_Data[[#This Row],[Attrition]]="Yes",1,0)</f>
        <v>0</v>
      </c>
      <c r="AK1200" t="str">
        <f>_xlfn.IFS(AND(HR_Data[[#This Row],[Age]]&gt;=18,HR_Data[[#This Row],[Age]]&lt;=25),"18-25",AND(HR_Data[[#This Row],[Age]]&gt;=26,HR_Data[[#This Row],[Age]]&lt;=35),"26-35",AND(HR_Data[[#This Row],[Age]]&gt;=36,HR_Data[[#This Row],[Age]]&lt;=45),"36-45",HR_Data[[#This Row],[Age]]&gt;45,"45+")</f>
        <v>26-35</v>
      </c>
      <c r="AL12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01" spans="1:38"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f>IF(HR_Data[[#This Row],[Attrition]]="Yes",1,0)</f>
        <v>0</v>
      </c>
      <c r="AK1201" t="str">
        <f>_xlfn.IFS(AND(HR_Data[[#This Row],[Age]]&gt;=18,HR_Data[[#This Row],[Age]]&lt;=25),"18-25",AND(HR_Data[[#This Row],[Age]]&gt;=26,HR_Data[[#This Row],[Age]]&lt;=35),"26-35",AND(HR_Data[[#This Row],[Age]]&gt;=36,HR_Data[[#This Row],[Age]]&lt;=45),"36-45",HR_Data[[#This Row],[Age]]&gt;45,"45+")</f>
        <v>36-45</v>
      </c>
      <c r="AL12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02" spans="1:38"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f>IF(HR_Data[[#This Row],[Attrition]]="Yes",1,0)</f>
        <v>0</v>
      </c>
      <c r="AK1202" t="str">
        <f>_xlfn.IFS(AND(HR_Data[[#This Row],[Age]]&gt;=18,HR_Data[[#This Row],[Age]]&lt;=25),"18-25",AND(HR_Data[[#This Row],[Age]]&gt;=26,HR_Data[[#This Row],[Age]]&lt;=35),"26-35",AND(HR_Data[[#This Row],[Age]]&gt;=36,HR_Data[[#This Row],[Age]]&lt;=45),"36-45",HR_Data[[#This Row],[Age]]&gt;45,"45+")</f>
        <v>36-45</v>
      </c>
      <c r="AL12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03" spans="1:38"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f>IF(HR_Data[[#This Row],[Attrition]]="Yes",1,0)</f>
        <v>1</v>
      </c>
      <c r="AK1203" t="str">
        <f>_xlfn.IFS(AND(HR_Data[[#This Row],[Age]]&gt;=18,HR_Data[[#This Row],[Age]]&lt;=25),"18-25",AND(HR_Data[[#This Row],[Age]]&gt;=26,HR_Data[[#This Row],[Age]]&lt;=35),"26-35",AND(HR_Data[[#This Row],[Age]]&gt;=36,HR_Data[[#This Row],[Age]]&lt;=45),"36-45",HR_Data[[#This Row],[Age]]&gt;45,"45+")</f>
        <v>18-25</v>
      </c>
      <c r="AL12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04" spans="1:38"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f>IF(HR_Data[[#This Row],[Attrition]]="Yes",1,0)</f>
        <v>0</v>
      </c>
      <c r="AK1204" t="str">
        <f>_xlfn.IFS(AND(HR_Data[[#This Row],[Age]]&gt;=18,HR_Data[[#This Row],[Age]]&lt;=25),"18-25",AND(HR_Data[[#This Row],[Age]]&gt;=26,HR_Data[[#This Row],[Age]]&lt;=35),"26-35",AND(HR_Data[[#This Row],[Age]]&gt;=36,HR_Data[[#This Row],[Age]]&lt;=45),"36-45",HR_Data[[#This Row],[Age]]&gt;45,"45+")</f>
        <v>36-45</v>
      </c>
      <c r="AL12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05" spans="1:38"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f>IF(HR_Data[[#This Row],[Attrition]]="Yes",1,0)</f>
        <v>0</v>
      </c>
      <c r="AK1205" t="str">
        <f>_xlfn.IFS(AND(HR_Data[[#This Row],[Age]]&gt;=18,HR_Data[[#This Row],[Age]]&lt;=25),"18-25",AND(HR_Data[[#This Row],[Age]]&gt;=26,HR_Data[[#This Row],[Age]]&lt;=35),"26-35",AND(HR_Data[[#This Row],[Age]]&gt;=36,HR_Data[[#This Row],[Age]]&lt;=45),"36-45",HR_Data[[#This Row],[Age]]&gt;45,"45+")</f>
        <v>45+</v>
      </c>
      <c r="AL12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06" spans="1:38"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f>IF(HR_Data[[#This Row],[Attrition]]="Yes",1,0)</f>
        <v>1</v>
      </c>
      <c r="AK1206" t="str">
        <f>_xlfn.IFS(AND(HR_Data[[#This Row],[Age]]&gt;=18,HR_Data[[#This Row],[Age]]&lt;=25),"18-25",AND(HR_Data[[#This Row],[Age]]&gt;=26,HR_Data[[#This Row],[Age]]&lt;=35),"26-35",AND(HR_Data[[#This Row],[Age]]&gt;=36,HR_Data[[#This Row],[Age]]&lt;=45),"36-45",HR_Data[[#This Row],[Age]]&gt;45,"45+")</f>
        <v>45+</v>
      </c>
      <c r="AL12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07" spans="1:38"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f>IF(HR_Data[[#This Row],[Attrition]]="Yes",1,0)</f>
        <v>1</v>
      </c>
      <c r="AK1207" t="str">
        <f>_xlfn.IFS(AND(HR_Data[[#This Row],[Age]]&gt;=18,HR_Data[[#This Row],[Age]]&lt;=25),"18-25",AND(HR_Data[[#This Row],[Age]]&gt;=26,HR_Data[[#This Row],[Age]]&lt;=35),"26-35",AND(HR_Data[[#This Row],[Age]]&gt;=36,HR_Data[[#This Row],[Age]]&lt;=45),"36-45",HR_Data[[#This Row],[Age]]&gt;45,"45+")</f>
        <v>26-35</v>
      </c>
      <c r="AL12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08" spans="1:38"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f>IF(HR_Data[[#This Row],[Attrition]]="Yes",1,0)</f>
        <v>0</v>
      </c>
      <c r="AK1208" t="str">
        <f>_xlfn.IFS(AND(HR_Data[[#This Row],[Age]]&gt;=18,HR_Data[[#This Row],[Age]]&lt;=25),"18-25",AND(HR_Data[[#This Row],[Age]]&gt;=26,HR_Data[[#This Row],[Age]]&lt;=35),"26-35",AND(HR_Data[[#This Row],[Age]]&gt;=36,HR_Data[[#This Row],[Age]]&lt;=45),"36-45",HR_Data[[#This Row],[Age]]&gt;45,"45+")</f>
        <v>26-35</v>
      </c>
      <c r="AL12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09" spans="1:38"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f>IF(HR_Data[[#This Row],[Attrition]]="Yes",1,0)</f>
        <v>0</v>
      </c>
      <c r="AK1209" t="str">
        <f>_xlfn.IFS(AND(HR_Data[[#This Row],[Age]]&gt;=18,HR_Data[[#This Row],[Age]]&lt;=25),"18-25",AND(HR_Data[[#This Row],[Age]]&gt;=26,HR_Data[[#This Row],[Age]]&lt;=35),"26-35",AND(HR_Data[[#This Row],[Age]]&gt;=36,HR_Data[[#This Row],[Age]]&lt;=45),"36-45",HR_Data[[#This Row],[Age]]&gt;45,"45+")</f>
        <v>45+</v>
      </c>
      <c r="AL12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10" spans="1:38"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f>IF(HR_Data[[#This Row],[Attrition]]="Yes",1,0)</f>
        <v>0</v>
      </c>
      <c r="AK1210" t="str">
        <f>_xlfn.IFS(AND(HR_Data[[#This Row],[Age]]&gt;=18,HR_Data[[#This Row],[Age]]&lt;=25),"18-25",AND(HR_Data[[#This Row],[Age]]&gt;=26,HR_Data[[#This Row],[Age]]&lt;=35),"26-35",AND(HR_Data[[#This Row],[Age]]&gt;=36,HR_Data[[#This Row],[Age]]&lt;=45),"36-45",HR_Data[[#This Row],[Age]]&gt;45,"45+")</f>
        <v>26-35</v>
      </c>
      <c r="AL12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11" spans="1:38"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f>IF(HR_Data[[#This Row],[Attrition]]="Yes",1,0)</f>
        <v>0</v>
      </c>
      <c r="AK1211" t="str">
        <f>_xlfn.IFS(AND(HR_Data[[#This Row],[Age]]&gt;=18,HR_Data[[#This Row],[Age]]&lt;=25),"18-25",AND(HR_Data[[#This Row],[Age]]&gt;=26,HR_Data[[#This Row],[Age]]&lt;=35),"26-35",AND(HR_Data[[#This Row],[Age]]&gt;=36,HR_Data[[#This Row],[Age]]&lt;=45),"36-45",HR_Data[[#This Row],[Age]]&gt;45,"45+")</f>
        <v>45+</v>
      </c>
      <c r="AL12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12" spans="1:38"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f>IF(HR_Data[[#This Row],[Attrition]]="Yes",1,0)</f>
        <v>0</v>
      </c>
      <c r="AK1212" t="str">
        <f>_xlfn.IFS(AND(HR_Data[[#This Row],[Age]]&gt;=18,HR_Data[[#This Row],[Age]]&lt;=25),"18-25",AND(HR_Data[[#This Row],[Age]]&gt;=26,HR_Data[[#This Row],[Age]]&lt;=35),"26-35",AND(HR_Data[[#This Row],[Age]]&gt;=36,HR_Data[[#This Row],[Age]]&lt;=45),"36-45",HR_Data[[#This Row],[Age]]&gt;45,"45+")</f>
        <v>26-35</v>
      </c>
      <c r="AL12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13" spans="1:38"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f>IF(HR_Data[[#This Row],[Attrition]]="Yes",1,0)</f>
        <v>0</v>
      </c>
      <c r="AK1213" t="str">
        <f>_xlfn.IFS(AND(HR_Data[[#This Row],[Age]]&gt;=18,HR_Data[[#This Row],[Age]]&lt;=25),"18-25",AND(HR_Data[[#This Row],[Age]]&gt;=26,HR_Data[[#This Row],[Age]]&lt;=35),"26-35",AND(HR_Data[[#This Row],[Age]]&gt;=36,HR_Data[[#This Row],[Age]]&lt;=45),"36-45",HR_Data[[#This Row],[Age]]&gt;45,"45+")</f>
        <v>36-45</v>
      </c>
      <c r="AL12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14" spans="1:38"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f>IF(HR_Data[[#This Row],[Attrition]]="Yes",1,0)</f>
        <v>0</v>
      </c>
      <c r="AK1214" t="str">
        <f>_xlfn.IFS(AND(HR_Data[[#This Row],[Age]]&gt;=18,HR_Data[[#This Row],[Age]]&lt;=25),"18-25",AND(HR_Data[[#This Row],[Age]]&gt;=26,HR_Data[[#This Row],[Age]]&lt;=35),"26-35",AND(HR_Data[[#This Row],[Age]]&gt;=36,HR_Data[[#This Row],[Age]]&lt;=45),"36-45",HR_Data[[#This Row],[Age]]&gt;45,"45+")</f>
        <v>26-35</v>
      </c>
      <c r="AL12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15" spans="1:38"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f>IF(HR_Data[[#This Row],[Attrition]]="Yes",1,0)</f>
        <v>1</v>
      </c>
      <c r="AK1215" t="str">
        <f>_xlfn.IFS(AND(HR_Data[[#This Row],[Age]]&gt;=18,HR_Data[[#This Row],[Age]]&lt;=25),"18-25",AND(HR_Data[[#This Row],[Age]]&gt;=26,HR_Data[[#This Row],[Age]]&lt;=35),"26-35",AND(HR_Data[[#This Row],[Age]]&gt;=36,HR_Data[[#This Row],[Age]]&lt;=45),"36-45",HR_Data[[#This Row],[Age]]&gt;45,"45+")</f>
        <v>18-25</v>
      </c>
      <c r="AL12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16" spans="1:38"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f>IF(HR_Data[[#This Row],[Attrition]]="Yes",1,0)</f>
        <v>0</v>
      </c>
      <c r="AK1216" t="str">
        <f>_xlfn.IFS(AND(HR_Data[[#This Row],[Age]]&gt;=18,HR_Data[[#This Row],[Age]]&lt;=25),"18-25",AND(HR_Data[[#This Row],[Age]]&gt;=26,HR_Data[[#This Row],[Age]]&lt;=35),"26-35",AND(HR_Data[[#This Row],[Age]]&gt;=36,HR_Data[[#This Row],[Age]]&lt;=45),"36-45",HR_Data[[#This Row],[Age]]&gt;45,"45+")</f>
        <v>36-45</v>
      </c>
      <c r="AL12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17" spans="1:38"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f>IF(HR_Data[[#This Row],[Attrition]]="Yes",1,0)</f>
        <v>0</v>
      </c>
      <c r="AK1217" t="str">
        <f>_xlfn.IFS(AND(HR_Data[[#This Row],[Age]]&gt;=18,HR_Data[[#This Row],[Age]]&lt;=25),"18-25",AND(HR_Data[[#This Row],[Age]]&gt;=26,HR_Data[[#This Row],[Age]]&lt;=35),"26-35",AND(HR_Data[[#This Row],[Age]]&gt;=36,HR_Data[[#This Row],[Age]]&lt;=45),"36-45",HR_Data[[#This Row],[Age]]&gt;45,"45+")</f>
        <v>26-35</v>
      </c>
      <c r="AL12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18" spans="1:38"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f>IF(HR_Data[[#This Row],[Attrition]]="Yes",1,0)</f>
        <v>0</v>
      </c>
      <c r="AK1218" t="str">
        <f>_xlfn.IFS(AND(HR_Data[[#This Row],[Age]]&gt;=18,HR_Data[[#This Row],[Age]]&lt;=25),"18-25",AND(HR_Data[[#This Row],[Age]]&gt;=26,HR_Data[[#This Row],[Age]]&lt;=35),"26-35",AND(HR_Data[[#This Row],[Age]]&gt;=36,HR_Data[[#This Row],[Age]]&lt;=45),"36-45",HR_Data[[#This Row],[Age]]&gt;45,"45+")</f>
        <v>36-45</v>
      </c>
      <c r="AL12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19" spans="1:38"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f>IF(HR_Data[[#This Row],[Attrition]]="Yes",1,0)</f>
        <v>0</v>
      </c>
      <c r="AK1219" t="str">
        <f>_xlfn.IFS(AND(HR_Data[[#This Row],[Age]]&gt;=18,HR_Data[[#This Row],[Age]]&lt;=25),"18-25",AND(HR_Data[[#This Row],[Age]]&gt;=26,HR_Data[[#This Row],[Age]]&lt;=35),"26-35",AND(HR_Data[[#This Row],[Age]]&gt;=36,HR_Data[[#This Row],[Age]]&lt;=45),"36-45",HR_Data[[#This Row],[Age]]&gt;45,"45+")</f>
        <v>18-25</v>
      </c>
      <c r="AL12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20" spans="1:38"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f>IF(HR_Data[[#This Row],[Attrition]]="Yes",1,0)</f>
        <v>0</v>
      </c>
      <c r="AK1220" t="str">
        <f>_xlfn.IFS(AND(HR_Data[[#This Row],[Age]]&gt;=18,HR_Data[[#This Row],[Age]]&lt;=25),"18-25",AND(HR_Data[[#This Row],[Age]]&gt;=26,HR_Data[[#This Row],[Age]]&lt;=35),"26-35",AND(HR_Data[[#This Row],[Age]]&gt;=36,HR_Data[[#This Row],[Age]]&lt;=45),"36-45",HR_Data[[#This Row],[Age]]&gt;45,"45+")</f>
        <v>36-45</v>
      </c>
      <c r="AL12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21" spans="1:38"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f>IF(HR_Data[[#This Row],[Attrition]]="Yes",1,0)</f>
        <v>0</v>
      </c>
      <c r="AK1221" t="str">
        <f>_xlfn.IFS(AND(HR_Data[[#This Row],[Age]]&gt;=18,HR_Data[[#This Row],[Age]]&lt;=25),"18-25",AND(HR_Data[[#This Row],[Age]]&gt;=26,HR_Data[[#This Row],[Age]]&lt;=35),"26-35",AND(HR_Data[[#This Row],[Age]]&gt;=36,HR_Data[[#This Row],[Age]]&lt;=45),"36-45",HR_Data[[#This Row],[Age]]&gt;45,"45+")</f>
        <v>26-35</v>
      </c>
      <c r="AL12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22" spans="1:38"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f>IF(HR_Data[[#This Row],[Attrition]]="Yes",1,0)</f>
        <v>0</v>
      </c>
      <c r="AK1222" t="str">
        <f>_xlfn.IFS(AND(HR_Data[[#This Row],[Age]]&gt;=18,HR_Data[[#This Row],[Age]]&lt;=25),"18-25",AND(HR_Data[[#This Row],[Age]]&gt;=26,HR_Data[[#This Row],[Age]]&lt;=35),"26-35",AND(HR_Data[[#This Row],[Age]]&gt;=36,HR_Data[[#This Row],[Age]]&lt;=45),"36-45",HR_Data[[#This Row],[Age]]&gt;45,"45+")</f>
        <v>36-45</v>
      </c>
      <c r="AL12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23" spans="1:38"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f>IF(HR_Data[[#This Row],[Attrition]]="Yes",1,0)</f>
        <v>0</v>
      </c>
      <c r="AK1223" t="str">
        <f>_xlfn.IFS(AND(HR_Data[[#This Row],[Age]]&gt;=18,HR_Data[[#This Row],[Age]]&lt;=25),"18-25",AND(HR_Data[[#This Row],[Age]]&gt;=26,HR_Data[[#This Row],[Age]]&lt;=35),"26-35",AND(HR_Data[[#This Row],[Age]]&gt;=36,HR_Data[[#This Row],[Age]]&lt;=45),"36-45",HR_Data[[#This Row],[Age]]&gt;45,"45+")</f>
        <v>36-45</v>
      </c>
      <c r="AL12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24" spans="1:38"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f>IF(HR_Data[[#This Row],[Attrition]]="Yes",1,0)</f>
        <v>1</v>
      </c>
      <c r="AK1224" t="str">
        <f>_xlfn.IFS(AND(HR_Data[[#This Row],[Age]]&gt;=18,HR_Data[[#This Row],[Age]]&lt;=25),"18-25",AND(HR_Data[[#This Row],[Age]]&gt;=26,HR_Data[[#This Row],[Age]]&lt;=35),"26-35",AND(HR_Data[[#This Row],[Age]]&gt;=36,HR_Data[[#This Row],[Age]]&lt;=45),"36-45",HR_Data[[#This Row],[Age]]&gt;45,"45+")</f>
        <v>18-25</v>
      </c>
      <c r="AL12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25" spans="1:38"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f>IF(HR_Data[[#This Row],[Attrition]]="Yes",1,0)</f>
        <v>1</v>
      </c>
      <c r="AK1225" t="str">
        <f>_xlfn.IFS(AND(HR_Data[[#This Row],[Age]]&gt;=18,HR_Data[[#This Row],[Age]]&lt;=25),"18-25",AND(HR_Data[[#This Row],[Age]]&gt;=26,HR_Data[[#This Row],[Age]]&lt;=35),"26-35",AND(HR_Data[[#This Row],[Age]]&gt;=36,HR_Data[[#This Row],[Age]]&lt;=45),"36-45",HR_Data[[#This Row],[Age]]&gt;45,"45+")</f>
        <v>45+</v>
      </c>
      <c r="AL12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26" spans="1:38"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f>IF(HR_Data[[#This Row],[Attrition]]="Yes",1,0)</f>
        <v>0</v>
      </c>
      <c r="AK1226" t="str">
        <f>_xlfn.IFS(AND(HR_Data[[#This Row],[Age]]&gt;=18,HR_Data[[#This Row],[Age]]&lt;=25),"18-25",AND(HR_Data[[#This Row],[Age]]&gt;=26,HR_Data[[#This Row],[Age]]&lt;=35),"26-35",AND(HR_Data[[#This Row],[Age]]&gt;=36,HR_Data[[#This Row],[Age]]&lt;=45),"36-45",HR_Data[[#This Row],[Age]]&gt;45,"45+")</f>
        <v>26-35</v>
      </c>
      <c r="AL12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27" spans="1:38"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f>IF(HR_Data[[#This Row],[Attrition]]="Yes",1,0)</f>
        <v>0</v>
      </c>
      <c r="AK1227" t="str">
        <f>_xlfn.IFS(AND(HR_Data[[#This Row],[Age]]&gt;=18,HR_Data[[#This Row],[Age]]&lt;=25),"18-25",AND(HR_Data[[#This Row],[Age]]&gt;=26,HR_Data[[#This Row],[Age]]&lt;=35),"26-35",AND(HR_Data[[#This Row],[Age]]&gt;=36,HR_Data[[#This Row],[Age]]&lt;=45),"36-45",HR_Data[[#This Row],[Age]]&gt;45,"45+")</f>
        <v>36-45</v>
      </c>
      <c r="AL12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28" spans="1:38"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f>IF(HR_Data[[#This Row],[Attrition]]="Yes",1,0)</f>
        <v>0</v>
      </c>
      <c r="AK1228" t="str">
        <f>_xlfn.IFS(AND(HR_Data[[#This Row],[Age]]&gt;=18,HR_Data[[#This Row],[Age]]&lt;=25),"18-25",AND(HR_Data[[#This Row],[Age]]&gt;=26,HR_Data[[#This Row],[Age]]&lt;=35),"26-35",AND(HR_Data[[#This Row],[Age]]&gt;=36,HR_Data[[#This Row],[Age]]&lt;=45),"36-45",HR_Data[[#This Row],[Age]]&gt;45,"45+")</f>
        <v>26-35</v>
      </c>
      <c r="AL12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29" spans="1:38"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f>IF(HR_Data[[#This Row],[Attrition]]="Yes",1,0)</f>
        <v>0</v>
      </c>
      <c r="AK1229" t="str">
        <f>_xlfn.IFS(AND(HR_Data[[#This Row],[Age]]&gt;=18,HR_Data[[#This Row],[Age]]&lt;=25),"18-25",AND(HR_Data[[#This Row],[Age]]&gt;=26,HR_Data[[#This Row],[Age]]&lt;=35),"26-35",AND(HR_Data[[#This Row],[Age]]&gt;=36,HR_Data[[#This Row],[Age]]&lt;=45),"36-45",HR_Data[[#This Row],[Age]]&gt;45,"45+")</f>
        <v>26-35</v>
      </c>
      <c r="AL12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30" spans="1:38"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f>IF(HR_Data[[#This Row],[Attrition]]="Yes",1,0)</f>
        <v>0</v>
      </c>
      <c r="AK1230" t="str">
        <f>_xlfn.IFS(AND(HR_Data[[#This Row],[Age]]&gt;=18,HR_Data[[#This Row],[Age]]&lt;=25),"18-25",AND(HR_Data[[#This Row],[Age]]&gt;=26,HR_Data[[#This Row],[Age]]&lt;=35),"26-35",AND(HR_Data[[#This Row],[Age]]&gt;=36,HR_Data[[#This Row],[Age]]&lt;=45),"36-45",HR_Data[[#This Row],[Age]]&gt;45,"45+")</f>
        <v>36-45</v>
      </c>
      <c r="AL12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31" spans="1:38"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f>IF(HR_Data[[#This Row],[Attrition]]="Yes",1,0)</f>
        <v>0</v>
      </c>
      <c r="AK1231" t="str">
        <f>_xlfn.IFS(AND(HR_Data[[#This Row],[Age]]&gt;=18,HR_Data[[#This Row],[Age]]&lt;=25),"18-25",AND(HR_Data[[#This Row],[Age]]&gt;=26,HR_Data[[#This Row],[Age]]&lt;=35),"26-35",AND(HR_Data[[#This Row],[Age]]&gt;=36,HR_Data[[#This Row],[Age]]&lt;=45),"36-45",HR_Data[[#This Row],[Age]]&gt;45,"45+")</f>
        <v>36-45</v>
      </c>
      <c r="AL12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32" spans="1:38"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f>IF(HR_Data[[#This Row],[Attrition]]="Yes",1,0)</f>
        <v>0</v>
      </c>
      <c r="AK1232" t="str">
        <f>_xlfn.IFS(AND(HR_Data[[#This Row],[Age]]&gt;=18,HR_Data[[#This Row],[Age]]&lt;=25),"18-25",AND(HR_Data[[#This Row],[Age]]&gt;=26,HR_Data[[#This Row],[Age]]&lt;=35),"26-35",AND(HR_Data[[#This Row],[Age]]&gt;=36,HR_Data[[#This Row],[Age]]&lt;=45),"36-45",HR_Data[[#This Row],[Age]]&gt;45,"45+")</f>
        <v>18-25</v>
      </c>
      <c r="AL12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33" spans="1:38"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f>IF(HR_Data[[#This Row],[Attrition]]="Yes",1,0)</f>
        <v>0</v>
      </c>
      <c r="AK1233" t="str">
        <f>_xlfn.IFS(AND(HR_Data[[#This Row],[Age]]&gt;=18,HR_Data[[#This Row],[Age]]&lt;=25),"18-25",AND(HR_Data[[#This Row],[Age]]&gt;=26,HR_Data[[#This Row],[Age]]&lt;=35),"26-35",AND(HR_Data[[#This Row],[Age]]&gt;=36,HR_Data[[#This Row],[Age]]&lt;=45),"36-45",HR_Data[[#This Row],[Age]]&gt;45,"45+")</f>
        <v>45+</v>
      </c>
      <c r="AL12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34" spans="1:38"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f>IF(HR_Data[[#This Row],[Attrition]]="Yes",1,0)</f>
        <v>0</v>
      </c>
      <c r="AK1234" t="str">
        <f>_xlfn.IFS(AND(HR_Data[[#This Row],[Age]]&gt;=18,HR_Data[[#This Row],[Age]]&lt;=25),"18-25",AND(HR_Data[[#This Row],[Age]]&gt;=26,HR_Data[[#This Row],[Age]]&lt;=35),"26-35",AND(HR_Data[[#This Row],[Age]]&gt;=36,HR_Data[[#This Row],[Age]]&lt;=45),"36-45",HR_Data[[#This Row],[Age]]&gt;45,"45+")</f>
        <v>26-35</v>
      </c>
      <c r="AL12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35" spans="1:38"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f>IF(HR_Data[[#This Row],[Attrition]]="Yes",1,0)</f>
        <v>0</v>
      </c>
      <c r="AK1235" t="str">
        <f>_xlfn.IFS(AND(HR_Data[[#This Row],[Age]]&gt;=18,HR_Data[[#This Row],[Age]]&lt;=25),"18-25",AND(HR_Data[[#This Row],[Age]]&gt;=26,HR_Data[[#This Row],[Age]]&lt;=35),"26-35",AND(HR_Data[[#This Row],[Age]]&gt;=36,HR_Data[[#This Row],[Age]]&lt;=45),"36-45",HR_Data[[#This Row],[Age]]&gt;45,"45+")</f>
        <v>26-35</v>
      </c>
      <c r="AL12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36" spans="1:38"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f>IF(HR_Data[[#This Row],[Attrition]]="Yes",1,0)</f>
        <v>0</v>
      </c>
      <c r="AK1236" t="str">
        <f>_xlfn.IFS(AND(HR_Data[[#This Row],[Age]]&gt;=18,HR_Data[[#This Row],[Age]]&lt;=25),"18-25",AND(HR_Data[[#This Row],[Age]]&gt;=26,HR_Data[[#This Row],[Age]]&lt;=35),"26-35",AND(HR_Data[[#This Row],[Age]]&gt;=36,HR_Data[[#This Row],[Age]]&lt;=45),"36-45",HR_Data[[#This Row],[Age]]&gt;45,"45+")</f>
        <v>45+</v>
      </c>
      <c r="AL12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37" spans="1:38"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f>IF(HR_Data[[#This Row],[Attrition]]="Yes",1,0)</f>
        <v>0</v>
      </c>
      <c r="AK1237" t="str">
        <f>_xlfn.IFS(AND(HR_Data[[#This Row],[Age]]&gt;=18,HR_Data[[#This Row],[Age]]&lt;=25),"18-25",AND(HR_Data[[#This Row],[Age]]&gt;=26,HR_Data[[#This Row],[Age]]&lt;=35),"26-35",AND(HR_Data[[#This Row],[Age]]&gt;=36,HR_Data[[#This Row],[Age]]&lt;=45),"36-45",HR_Data[[#This Row],[Age]]&gt;45,"45+")</f>
        <v>45+</v>
      </c>
      <c r="AL12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38" spans="1:38"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f>IF(HR_Data[[#This Row],[Attrition]]="Yes",1,0)</f>
        <v>1</v>
      </c>
      <c r="AK1238" t="str">
        <f>_xlfn.IFS(AND(HR_Data[[#This Row],[Age]]&gt;=18,HR_Data[[#This Row],[Age]]&lt;=25),"18-25",AND(HR_Data[[#This Row],[Age]]&gt;=26,HR_Data[[#This Row],[Age]]&lt;=35),"26-35",AND(HR_Data[[#This Row],[Age]]&gt;=36,HR_Data[[#This Row],[Age]]&lt;=45),"36-45",HR_Data[[#This Row],[Age]]&gt;45,"45+")</f>
        <v>36-45</v>
      </c>
      <c r="AL12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39" spans="1:38"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f>IF(HR_Data[[#This Row],[Attrition]]="Yes",1,0)</f>
        <v>1</v>
      </c>
      <c r="AK1239" t="str">
        <f>_xlfn.IFS(AND(HR_Data[[#This Row],[Age]]&gt;=18,HR_Data[[#This Row],[Age]]&lt;=25),"18-25",AND(HR_Data[[#This Row],[Age]]&gt;=26,HR_Data[[#This Row],[Age]]&lt;=35),"26-35",AND(HR_Data[[#This Row],[Age]]&gt;=36,HR_Data[[#This Row],[Age]]&lt;=45),"36-45",HR_Data[[#This Row],[Age]]&gt;45,"45+")</f>
        <v>26-35</v>
      </c>
      <c r="AL12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40" spans="1:38"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f>IF(HR_Data[[#This Row],[Attrition]]="Yes",1,0)</f>
        <v>0</v>
      </c>
      <c r="AK1240" t="str">
        <f>_xlfn.IFS(AND(HR_Data[[#This Row],[Age]]&gt;=18,HR_Data[[#This Row],[Age]]&lt;=25),"18-25",AND(HR_Data[[#This Row],[Age]]&gt;=26,HR_Data[[#This Row],[Age]]&lt;=35),"26-35",AND(HR_Data[[#This Row],[Age]]&gt;=36,HR_Data[[#This Row],[Age]]&lt;=45),"36-45",HR_Data[[#This Row],[Age]]&gt;45,"45+")</f>
        <v>18-25</v>
      </c>
      <c r="AL12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41" spans="1:38"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f>IF(HR_Data[[#This Row],[Attrition]]="Yes",1,0)</f>
        <v>0</v>
      </c>
      <c r="AK1241" t="str">
        <f>_xlfn.IFS(AND(HR_Data[[#This Row],[Age]]&gt;=18,HR_Data[[#This Row],[Age]]&lt;=25),"18-25",AND(HR_Data[[#This Row],[Age]]&gt;=26,HR_Data[[#This Row],[Age]]&lt;=35),"26-35",AND(HR_Data[[#This Row],[Age]]&gt;=36,HR_Data[[#This Row],[Age]]&lt;=45),"36-45",HR_Data[[#This Row],[Age]]&gt;45,"45+")</f>
        <v>26-35</v>
      </c>
      <c r="AL12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42" spans="1:38"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f>IF(HR_Data[[#This Row],[Attrition]]="Yes",1,0)</f>
        <v>0</v>
      </c>
      <c r="AK1242" t="str">
        <f>_xlfn.IFS(AND(HR_Data[[#This Row],[Age]]&gt;=18,HR_Data[[#This Row],[Age]]&lt;=25),"18-25",AND(HR_Data[[#This Row],[Age]]&gt;=26,HR_Data[[#This Row],[Age]]&lt;=35),"26-35",AND(HR_Data[[#This Row],[Age]]&gt;=36,HR_Data[[#This Row],[Age]]&lt;=45),"36-45",HR_Data[[#This Row],[Age]]&gt;45,"45+")</f>
        <v>36-45</v>
      </c>
      <c r="AL12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43" spans="1:38"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f>IF(HR_Data[[#This Row],[Attrition]]="Yes",1,0)</f>
        <v>0</v>
      </c>
      <c r="AK1243" t="str">
        <f>_xlfn.IFS(AND(HR_Data[[#This Row],[Age]]&gt;=18,HR_Data[[#This Row],[Age]]&lt;=25),"18-25",AND(HR_Data[[#This Row],[Age]]&gt;=26,HR_Data[[#This Row],[Age]]&lt;=35),"26-35",AND(HR_Data[[#This Row],[Age]]&gt;=36,HR_Data[[#This Row],[Age]]&lt;=45),"36-45",HR_Data[[#This Row],[Age]]&gt;45,"45+")</f>
        <v>26-35</v>
      </c>
      <c r="AL12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44" spans="1:38"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f>IF(HR_Data[[#This Row],[Attrition]]="Yes",1,0)</f>
        <v>0</v>
      </c>
      <c r="AK1244" t="str">
        <f>_xlfn.IFS(AND(HR_Data[[#This Row],[Age]]&gt;=18,HR_Data[[#This Row],[Age]]&lt;=25),"18-25",AND(HR_Data[[#This Row],[Age]]&gt;=26,HR_Data[[#This Row],[Age]]&lt;=35),"26-35",AND(HR_Data[[#This Row],[Age]]&gt;=36,HR_Data[[#This Row],[Age]]&lt;=45),"36-45",HR_Data[[#This Row],[Age]]&gt;45,"45+")</f>
        <v>36-45</v>
      </c>
      <c r="AL12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45" spans="1:38"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f>IF(HR_Data[[#This Row],[Attrition]]="Yes",1,0)</f>
        <v>0</v>
      </c>
      <c r="AK1245" t="str">
        <f>_xlfn.IFS(AND(HR_Data[[#This Row],[Age]]&gt;=18,HR_Data[[#This Row],[Age]]&lt;=25),"18-25",AND(HR_Data[[#This Row],[Age]]&gt;=26,HR_Data[[#This Row],[Age]]&lt;=35),"26-35",AND(HR_Data[[#This Row],[Age]]&gt;=36,HR_Data[[#This Row],[Age]]&lt;=45),"36-45",HR_Data[[#This Row],[Age]]&gt;45,"45+")</f>
        <v>36-45</v>
      </c>
      <c r="AL12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46" spans="1:38"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f>IF(HR_Data[[#This Row],[Attrition]]="Yes",1,0)</f>
        <v>0</v>
      </c>
      <c r="AK1246" t="str">
        <f>_xlfn.IFS(AND(HR_Data[[#This Row],[Age]]&gt;=18,HR_Data[[#This Row],[Age]]&lt;=25),"18-25",AND(HR_Data[[#This Row],[Age]]&gt;=26,HR_Data[[#This Row],[Age]]&lt;=35),"26-35",AND(HR_Data[[#This Row],[Age]]&gt;=36,HR_Data[[#This Row],[Age]]&lt;=45),"36-45",HR_Data[[#This Row],[Age]]&gt;45,"45+")</f>
        <v>26-35</v>
      </c>
      <c r="AL12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47" spans="1:38"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f>IF(HR_Data[[#This Row],[Attrition]]="Yes",1,0)</f>
        <v>0</v>
      </c>
      <c r="AK1247" t="str">
        <f>_xlfn.IFS(AND(HR_Data[[#This Row],[Age]]&gt;=18,HR_Data[[#This Row],[Age]]&lt;=25),"18-25",AND(HR_Data[[#This Row],[Age]]&gt;=26,HR_Data[[#This Row],[Age]]&lt;=35),"26-35",AND(HR_Data[[#This Row],[Age]]&gt;=36,HR_Data[[#This Row],[Age]]&lt;=45),"36-45",HR_Data[[#This Row],[Age]]&gt;45,"45+")</f>
        <v>18-25</v>
      </c>
      <c r="AL12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48" spans="1:38"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f>IF(HR_Data[[#This Row],[Attrition]]="Yes",1,0)</f>
        <v>1</v>
      </c>
      <c r="AK1248" t="str">
        <f>_xlfn.IFS(AND(HR_Data[[#This Row],[Age]]&gt;=18,HR_Data[[#This Row],[Age]]&lt;=25),"18-25",AND(HR_Data[[#This Row],[Age]]&gt;=26,HR_Data[[#This Row],[Age]]&lt;=35),"26-35",AND(HR_Data[[#This Row],[Age]]&gt;=36,HR_Data[[#This Row],[Age]]&lt;=45),"36-45",HR_Data[[#This Row],[Age]]&gt;45,"45+")</f>
        <v>26-35</v>
      </c>
      <c r="AL12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49" spans="1:38"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f>IF(HR_Data[[#This Row],[Attrition]]="Yes",1,0)</f>
        <v>0</v>
      </c>
      <c r="AK1249" t="str">
        <f>_xlfn.IFS(AND(HR_Data[[#This Row],[Age]]&gt;=18,HR_Data[[#This Row],[Age]]&lt;=25),"18-25",AND(HR_Data[[#This Row],[Age]]&gt;=26,HR_Data[[#This Row],[Age]]&lt;=35),"26-35",AND(HR_Data[[#This Row],[Age]]&gt;=36,HR_Data[[#This Row],[Age]]&lt;=45),"36-45",HR_Data[[#This Row],[Age]]&gt;45,"45+")</f>
        <v>26-35</v>
      </c>
      <c r="AL12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50" spans="1:38"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f>IF(HR_Data[[#This Row],[Attrition]]="Yes",1,0)</f>
        <v>0</v>
      </c>
      <c r="AK1250" t="str">
        <f>_xlfn.IFS(AND(HR_Data[[#This Row],[Age]]&gt;=18,HR_Data[[#This Row],[Age]]&lt;=25),"18-25",AND(HR_Data[[#This Row],[Age]]&gt;=26,HR_Data[[#This Row],[Age]]&lt;=35),"26-35",AND(HR_Data[[#This Row],[Age]]&gt;=36,HR_Data[[#This Row],[Age]]&lt;=45),"36-45",HR_Data[[#This Row],[Age]]&gt;45,"45+")</f>
        <v>26-35</v>
      </c>
      <c r="AL12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51" spans="1:38"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f>IF(HR_Data[[#This Row],[Attrition]]="Yes",1,0)</f>
        <v>1</v>
      </c>
      <c r="AK1251" t="str">
        <f>_xlfn.IFS(AND(HR_Data[[#This Row],[Age]]&gt;=18,HR_Data[[#This Row],[Age]]&lt;=25),"18-25",AND(HR_Data[[#This Row],[Age]]&gt;=26,HR_Data[[#This Row],[Age]]&lt;=35),"26-35",AND(HR_Data[[#This Row],[Age]]&gt;=36,HR_Data[[#This Row],[Age]]&lt;=45),"36-45",HR_Data[[#This Row],[Age]]&gt;45,"45+")</f>
        <v>26-35</v>
      </c>
      <c r="AL12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52" spans="1:38"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f>IF(HR_Data[[#This Row],[Attrition]]="Yes",1,0)</f>
        <v>0</v>
      </c>
      <c r="AK1252" t="str">
        <f>_xlfn.IFS(AND(HR_Data[[#This Row],[Age]]&gt;=18,HR_Data[[#This Row],[Age]]&lt;=25),"18-25",AND(HR_Data[[#This Row],[Age]]&gt;=26,HR_Data[[#This Row],[Age]]&lt;=35),"26-35",AND(HR_Data[[#This Row],[Age]]&gt;=36,HR_Data[[#This Row],[Age]]&lt;=45),"36-45",HR_Data[[#This Row],[Age]]&gt;45,"45+")</f>
        <v>26-35</v>
      </c>
      <c r="AL12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53" spans="1:38"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f>IF(HR_Data[[#This Row],[Attrition]]="Yes",1,0)</f>
        <v>0</v>
      </c>
      <c r="AK1253" t="str">
        <f>_xlfn.IFS(AND(HR_Data[[#This Row],[Age]]&gt;=18,HR_Data[[#This Row],[Age]]&lt;=25),"18-25",AND(HR_Data[[#This Row],[Age]]&gt;=26,HR_Data[[#This Row],[Age]]&lt;=35),"26-35",AND(HR_Data[[#This Row],[Age]]&gt;=36,HR_Data[[#This Row],[Age]]&lt;=45),"36-45",HR_Data[[#This Row],[Age]]&gt;45,"45+")</f>
        <v>26-35</v>
      </c>
      <c r="AL12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54" spans="1:38"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f>IF(HR_Data[[#This Row],[Attrition]]="Yes",1,0)</f>
        <v>0</v>
      </c>
      <c r="AK1254" t="str">
        <f>_xlfn.IFS(AND(HR_Data[[#This Row],[Age]]&gt;=18,HR_Data[[#This Row],[Age]]&lt;=25),"18-25",AND(HR_Data[[#This Row],[Age]]&gt;=26,HR_Data[[#This Row],[Age]]&lt;=35),"26-35",AND(HR_Data[[#This Row],[Age]]&gt;=36,HR_Data[[#This Row],[Age]]&lt;=45),"36-45",HR_Data[[#This Row],[Age]]&gt;45,"45+")</f>
        <v>26-35</v>
      </c>
      <c r="AL12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55" spans="1:38"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f>IF(HR_Data[[#This Row],[Attrition]]="Yes",1,0)</f>
        <v>0</v>
      </c>
      <c r="AK1255" t="str">
        <f>_xlfn.IFS(AND(HR_Data[[#This Row],[Age]]&gt;=18,HR_Data[[#This Row],[Age]]&lt;=25),"18-25",AND(HR_Data[[#This Row],[Age]]&gt;=26,HR_Data[[#This Row],[Age]]&lt;=35),"26-35",AND(HR_Data[[#This Row],[Age]]&gt;=36,HR_Data[[#This Row],[Age]]&lt;=45),"36-45",HR_Data[[#This Row],[Age]]&gt;45,"45+")</f>
        <v>26-35</v>
      </c>
      <c r="AL12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56" spans="1:38"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f>IF(HR_Data[[#This Row],[Attrition]]="Yes",1,0)</f>
        <v>0</v>
      </c>
      <c r="AK1256" t="str">
        <f>_xlfn.IFS(AND(HR_Data[[#This Row],[Age]]&gt;=18,HR_Data[[#This Row],[Age]]&lt;=25),"18-25",AND(HR_Data[[#This Row],[Age]]&gt;=26,HR_Data[[#This Row],[Age]]&lt;=35),"26-35",AND(HR_Data[[#This Row],[Age]]&gt;=36,HR_Data[[#This Row],[Age]]&lt;=45),"36-45",HR_Data[[#This Row],[Age]]&gt;45,"45+")</f>
        <v>45+</v>
      </c>
      <c r="AL12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57" spans="1:38"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f>IF(HR_Data[[#This Row],[Attrition]]="Yes",1,0)</f>
        <v>1</v>
      </c>
      <c r="AK1257" t="str">
        <f>_xlfn.IFS(AND(HR_Data[[#This Row],[Age]]&gt;=18,HR_Data[[#This Row],[Age]]&lt;=25),"18-25",AND(HR_Data[[#This Row],[Age]]&gt;=26,HR_Data[[#This Row],[Age]]&lt;=35),"26-35",AND(HR_Data[[#This Row],[Age]]&gt;=36,HR_Data[[#This Row],[Age]]&lt;=45),"36-45",HR_Data[[#This Row],[Age]]&gt;45,"45+")</f>
        <v>26-35</v>
      </c>
      <c r="AL12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58" spans="1:38"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f>IF(HR_Data[[#This Row],[Attrition]]="Yes",1,0)</f>
        <v>0</v>
      </c>
      <c r="AK1258" t="str">
        <f>_xlfn.IFS(AND(HR_Data[[#This Row],[Age]]&gt;=18,HR_Data[[#This Row],[Age]]&lt;=25),"18-25",AND(HR_Data[[#This Row],[Age]]&gt;=26,HR_Data[[#This Row],[Age]]&lt;=35),"26-35",AND(HR_Data[[#This Row],[Age]]&gt;=36,HR_Data[[#This Row],[Age]]&lt;=45),"36-45",HR_Data[[#This Row],[Age]]&gt;45,"45+")</f>
        <v>36-45</v>
      </c>
      <c r="AL12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59" spans="1:38"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f>IF(HR_Data[[#This Row],[Attrition]]="Yes",1,0)</f>
        <v>1</v>
      </c>
      <c r="AK1259" t="str">
        <f>_xlfn.IFS(AND(HR_Data[[#This Row],[Age]]&gt;=18,HR_Data[[#This Row],[Age]]&lt;=25),"18-25",AND(HR_Data[[#This Row],[Age]]&gt;=26,HR_Data[[#This Row],[Age]]&lt;=35),"26-35",AND(HR_Data[[#This Row],[Age]]&gt;=36,HR_Data[[#This Row],[Age]]&lt;=45),"36-45",HR_Data[[#This Row],[Age]]&gt;45,"45+")</f>
        <v>26-35</v>
      </c>
      <c r="AL12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60" spans="1:38"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f>IF(HR_Data[[#This Row],[Attrition]]="Yes",1,0)</f>
        <v>0</v>
      </c>
      <c r="AK1260" t="str">
        <f>_xlfn.IFS(AND(HR_Data[[#This Row],[Age]]&gt;=18,HR_Data[[#This Row],[Age]]&lt;=25),"18-25",AND(HR_Data[[#This Row],[Age]]&gt;=26,HR_Data[[#This Row],[Age]]&lt;=35),"26-35",AND(HR_Data[[#This Row],[Age]]&gt;=36,HR_Data[[#This Row],[Age]]&lt;=45),"36-45",HR_Data[[#This Row],[Age]]&gt;45,"45+")</f>
        <v>26-35</v>
      </c>
      <c r="AL12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61" spans="1:38"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f>IF(HR_Data[[#This Row],[Attrition]]="Yes",1,0)</f>
        <v>0</v>
      </c>
      <c r="AK1261" t="str">
        <f>_xlfn.IFS(AND(HR_Data[[#This Row],[Age]]&gt;=18,HR_Data[[#This Row],[Age]]&lt;=25),"18-25",AND(HR_Data[[#This Row],[Age]]&gt;=26,HR_Data[[#This Row],[Age]]&lt;=35),"26-35",AND(HR_Data[[#This Row],[Age]]&gt;=36,HR_Data[[#This Row],[Age]]&lt;=45),"36-45",HR_Data[[#This Row],[Age]]&gt;45,"45+")</f>
        <v>26-35</v>
      </c>
      <c r="AL12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62" spans="1:38"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f>IF(HR_Data[[#This Row],[Attrition]]="Yes",1,0)</f>
        <v>0</v>
      </c>
      <c r="AK1262" t="str">
        <f>_xlfn.IFS(AND(HR_Data[[#This Row],[Age]]&gt;=18,HR_Data[[#This Row],[Age]]&lt;=25),"18-25",AND(HR_Data[[#This Row],[Age]]&gt;=26,HR_Data[[#This Row],[Age]]&lt;=35),"26-35",AND(HR_Data[[#This Row],[Age]]&gt;=36,HR_Data[[#This Row],[Age]]&lt;=45),"36-45",HR_Data[[#This Row],[Age]]&gt;45,"45+")</f>
        <v>26-35</v>
      </c>
      <c r="AL12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63" spans="1:38"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f>IF(HR_Data[[#This Row],[Attrition]]="Yes",1,0)</f>
        <v>0</v>
      </c>
      <c r="AK1263" t="str">
        <f>_xlfn.IFS(AND(HR_Data[[#This Row],[Age]]&gt;=18,HR_Data[[#This Row],[Age]]&lt;=25),"18-25",AND(HR_Data[[#This Row],[Age]]&gt;=26,HR_Data[[#This Row],[Age]]&lt;=35),"26-35",AND(HR_Data[[#This Row],[Age]]&gt;=36,HR_Data[[#This Row],[Age]]&lt;=45),"36-45",HR_Data[[#This Row],[Age]]&gt;45,"45+")</f>
        <v>36-45</v>
      </c>
      <c r="AL12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64" spans="1:38"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f>IF(HR_Data[[#This Row],[Attrition]]="Yes",1,0)</f>
        <v>1</v>
      </c>
      <c r="AK1264" t="str">
        <f>_xlfn.IFS(AND(HR_Data[[#This Row],[Age]]&gt;=18,HR_Data[[#This Row],[Age]]&lt;=25),"18-25",AND(HR_Data[[#This Row],[Age]]&gt;=26,HR_Data[[#This Row],[Age]]&lt;=35),"26-35",AND(HR_Data[[#This Row],[Age]]&gt;=36,HR_Data[[#This Row],[Age]]&lt;=45),"36-45",HR_Data[[#This Row],[Age]]&gt;45,"45+")</f>
        <v>36-45</v>
      </c>
      <c r="AL12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65" spans="1:38"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f>IF(HR_Data[[#This Row],[Attrition]]="Yes",1,0)</f>
        <v>0</v>
      </c>
      <c r="AK1265" t="str">
        <f>_xlfn.IFS(AND(HR_Data[[#This Row],[Age]]&gt;=18,HR_Data[[#This Row],[Age]]&lt;=25),"18-25",AND(HR_Data[[#This Row],[Age]]&gt;=26,HR_Data[[#This Row],[Age]]&lt;=35),"26-35",AND(HR_Data[[#This Row],[Age]]&gt;=36,HR_Data[[#This Row],[Age]]&lt;=45),"36-45",HR_Data[[#This Row],[Age]]&gt;45,"45+")</f>
        <v>36-45</v>
      </c>
      <c r="AL12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66" spans="1:38"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f>IF(HR_Data[[#This Row],[Attrition]]="Yes",1,0)</f>
        <v>0</v>
      </c>
      <c r="AK1266" t="str">
        <f>_xlfn.IFS(AND(HR_Data[[#This Row],[Age]]&gt;=18,HR_Data[[#This Row],[Age]]&lt;=25),"18-25",AND(HR_Data[[#This Row],[Age]]&gt;=26,HR_Data[[#This Row],[Age]]&lt;=35),"26-35",AND(HR_Data[[#This Row],[Age]]&gt;=36,HR_Data[[#This Row],[Age]]&lt;=45),"36-45",HR_Data[[#This Row],[Age]]&gt;45,"45+")</f>
        <v>45+</v>
      </c>
      <c r="AL12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67" spans="1:38"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f>IF(HR_Data[[#This Row],[Attrition]]="Yes",1,0)</f>
        <v>0</v>
      </c>
      <c r="AK1267" t="str">
        <f>_xlfn.IFS(AND(HR_Data[[#This Row],[Age]]&gt;=18,HR_Data[[#This Row],[Age]]&lt;=25),"18-25",AND(HR_Data[[#This Row],[Age]]&gt;=26,HR_Data[[#This Row],[Age]]&lt;=35),"26-35",AND(HR_Data[[#This Row],[Age]]&gt;=36,HR_Data[[#This Row],[Age]]&lt;=45),"36-45",HR_Data[[#This Row],[Age]]&gt;45,"45+")</f>
        <v>26-35</v>
      </c>
      <c r="AL12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68" spans="1:38"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f>IF(HR_Data[[#This Row],[Attrition]]="Yes",1,0)</f>
        <v>0</v>
      </c>
      <c r="AK1268" t="str">
        <f>_xlfn.IFS(AND(HR_Data[[#This Row],[Age]]&gt;=18,HR_Data[[#This Row],[Age]]&lt;=25),"18-25",AND(HR_Data[[#This Row],[Age]]&gt;=26,HR_Data[[#This Row],[Age]]&lt;=35),"26-35",AND(HR_Data[[#This Row],[Age]]&gt;=36,HR_Data[[#This Row],[Age]]&lt;=45),"36-45",HR_Data[[#This Row],[Age]]&gt;45,"45+")</f>
        <v>36-45</v>
      </c>
      <c r="AL12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69" spans="1:38"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f>IF(HR_Data[[#This Row],[Attrition]]="Yes",1,0)</f>
        <v>0</v>
      </c>
      <c r="AK1269" t="str">
        <f>_xlfn.IFS(AND(HR_Data[[#This Row],[Age]]&gt;=18,HR_Data[[#This Row],[Age]]&lt;=25),"18-25",AND(HR_Data[[#This Row],[Age]]&gt;=26,HR_Data[[#This Row],[Age]]&lt;=35),"26-35",AND(HR_Data[[#This Row],[Age]]&gt;=36,HR_Data[[#This Row],[Age]]&lt;=45),"36-45",HR_Data[[#This Row],[Age]]&gt;45,"45+")</f>
        <v>26-35</v>
      </c>
      <c r="AL12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70" spans="1:38"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f>IF(HR_Data[[#This Row],[Attrition]]="Yes",1,0)</f>
        <v>0</v>
      </c>
      <c r="AK1270" t="str">
        <f>_xlfn.IFS(AND(HR_Data[[#This Row],[Age]]&gt;=18,HR_Data[[#This Row],[Age]]&lt;=25),"18-25",AND(HR_Data[[#This Row],[Age]]&gt;=26,HR_Data[[#This Row],[Age]]&lt;=35),"26-35",AND(HR_Data[[#This Row],[Age]]&gt;=36,HR_Data[[#This Row],[Age]]&lt;=45),"36-45",HR_Data[[#This Row],[Age]]&gt;45,"45+")</f>
        <v>45+</v>
      </c>
      <c r="AL12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71" spans="1:38"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f>IF(HR_Data[[#This Row],[Attrition]]="Yes",1,0)</f>
        <v>0</v>
      </c>
      <c r="AK1271" t="str">
        <f>_xlfn.IFS(AND(HR_Data[[#This Row],[Age]]&gt;=18,HR_Data[[#This Row],[Age]]&lt;=25),"18-25",AND(HR_Data[[#This Row],[Age]]&gt;=26,HR_Data[[#This Row],[Age]]&lt;=35),"26-35",AND(HR_Data[[#This Row],[Age]]&gt;=36,HR_Data[[#This Row],[Age]]&lt;=45),"36-45",HR_Data[[#This Row],[Age]]&gt;45,"45+")</f>
        <v>36-45</v>
      </c>
      <c r="AL12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72" spans="1:38"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f>IF(HR_Data[[#This Row],[Attrition]]="Yes",1,0)</f>
        <v>0</v>
      </c>
      <c r="AK1272" t="str">
        <f>_xlfn.IFS(AND(HR_Data[[#This Row],[Age]]&gt;=18,HR_Data[[#This Row],[Age]]&lt;=25),"18-25",AND(HR_Data[[#This Row],[Age]]&gt;=26,HR_Data[[#This Row],[Age]]&lt;=35),"26-35",AND(HR_Data[[#This Row],[Age]]&gt;=36,HR_Data[[#This Row],[Age]]&lt;=45),"36-45",HR_Data[[#This Row],[Age]]&gt;45,"45+")</f>
        <v>26-35</v>
      </c>
      <c r="AL12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73" spans="1:38"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f>IF(HR_Data[[#This Row],[Attrition]]="Yes",1,0)</f>
        <v>1</v>
      </c>
      <c r="AK1273" t="str">
        <f>_xlfn.IFS(AND(HR_Data[[#This Row],[Age]]&gt;=18,HR_Data[[#This Row],[Age]]&lt;=25),"18-25",AND(HR_Data[[#This Row],[Age]]&gt;=26,HR_Data[[#This Row],[Age]]&lt;=35),"26-35",AND(HR_Data[[#This Row],[Age]]&gt;=36,HR_Data[[#This Row],[Age]]&lt;=45),"36-45",HR_Data[[#This Row],[Age]]&gt;45,"45+")</f>
        <v>18-25</v>
      </c>
      <c r="AL12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74" spans="1:38"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f>IF(HR_Data[[#This Row],[Attrition]]="Yes",1,0)</f>
        <v>0</v>
      </c>
      <c r="AK1274" t="str">
        <f>_xlfn.IFS(AND(HR_Data[[#This Row],[Age]]&gt;=18,HR_Data[[#This Row],[Age]]&lt;=25),"18-25",AND(HR_Data[[#This Row],[Age]]&gt;=26,HR_Data[[#This Row],[Age]]&lt;=35),"26-35",AND(HR_Data[[#This Row],[Age]]&gt;=36,HR_Data[[#This Row],[Age]]&lt;=45),"36-45",HR_Data[[#This Row],[Age]]&gt;45,"45+")</f>
        <v>36-45</v>
      </c>
      <c r="AL12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75" spans="1:38"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f>IF(HR_Data[[#This Row],[Attrition]]="Yes",1,0)</f>
        <v>1</v>
      </c>
      <c r="AK1275" t="str">
        <f>_xlfn.IFS(AND(HR_Data[[#This Row],[Age]]&gt;=18,HR_Data[[#This Row],[Age]]&lt;=25),"18-25",AND(HR_Data[[#This Row],[Age]]&gt;=26,HR_Data[[#This Row],[Age]]&lt;=35),"26-35",AND(HR_Data[[#This Row],[Age]]&gt;=36,HR_Data[[#This Row],[Age]]&lt;=45),"36-45",HR_Data[[#This Row],[Age]]&gt;45,"45+")</f>
        <v>18-25</v>
      </c>
      <c r="AL12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76" spans="1:38"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f>IF(HR_Data[[#This Row],[Attrition]]="Yes",1,0)</f>
        <v>0</v>
      </c>
      <c r="AK1276" t="str">
        <f>_xlfn.IFS(AND(HR_Data[[#This Row],[Age]]&gt;=18,HR_Data[[#This Row],[Age]]&lt;=25),"18-25",AND(HR_Data[[#This Row],[Age]]&gt;=26,HR_Data[[#This Row],[Age]]&lt;=35),"26-35",AND(HR_Data[[#This Row],[Age]]&gt;=36,HR_Data[[#This Row],[Age]]&lt;=45),"36-45",HR_Data[[#This Row],[Age]]&gt;45,"45+")</f>
        <v>26-35</v>
      </c>
      <c r="AL12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77" spans="1:38"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f>IF(HR_Data[[#This Row],[Attrition]]="Yes",1,0)</f>
        <v>0</v>
      </c>
      <c r="AK1277" t="str">
        <f>_xlfn.IFS(AND(HR_Data[[#This Row],[Age]]&gt;=18,HR_Data[[#This Row],[Age]]&lt;=25),"18-25",AND(HR_Data[[#This Row],[Age]]&gt;=26,HR_Data[[#This Row],[Age]]&lt;=35),"26-35",AND(HR_Data[[#This Row],[Age]]&gt;=36,HR_Data[[#This Row],[Age]]&lt;=45),"36-45",HR_Data[[#This Row],[Age]]&gt;45,"45+")</f>
        <v>45+</v>
      </c>
      <c r="AL12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78" spans="1:38"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f>IF(HR_Data[[#This Row],[Attrition]]="Yes",1,0)</f>
        <v>0</v>
      </c>
      <c r="AK1278" t="str">
        <f>_xlfn.IFS(AND(HR_Data[[#This Row],[Age]]&gt;=18,HR_Data[[#This Row],[Age]]&lt;=25),"18-25",AND(HR_Data[[#This Row],[Age]]&gt;=26,HR_Data[[#This Row],[Age]]&lt;=35),"26-35",AND(HR_Data[[#This Row],[Age]]&gt;=36,HR_Data[[#This Row],[Age]]&lt;=45),"36-45",HR_Data[[#This Row],[Age]]&gt;45,"45+")</f>
        <v>36-45</v>
      </c>
      <c r="AL12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79" spans="1:38"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f>IF(HR_Data[[#This Row],[Attrition]]="Yes",1,0)</f>
        <v>0</v>
      </c>
      <c r="AK1279" t="str">
        <f>_xlfn.IFS(AND(HR_Data[[#This Row],[Age]]&gt;=18,HR_Data[[#This Row],[Age]]&lt;=25),"18-25",AND(HR_Data[[#This Row],[Age]]&gt;=26,HR_Data[[#This Row],[Age]]&lt;=35),"26-35",AND(HR_Data[[#This Row],[Age]]&gt;=36,HR_Data[[#This Row],[Age]]&lt;=45),"36-45",HR_Data[[#This Row],[Age]]&gt;45,"45+")</f>
        <v>45+</v>
      </c>
      <c r="AL12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80" spans="1:38"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f>IF(HR_Data[[#This Row],[Attrition]]="Yes",1,0)</f>
        <v>0</v>
      </c>
      <c r="AK1280" t="str">
        <f>_xlfn.IFS(AND(HR_Data[[#This Row],[Age]]&gt;=18,HR_Data[[#This Row],[Age]]&lt;=25),"18-25",AND(HR_Data[[#This Row],[Age]]&gt;=26,HR_Data[[#This Row],[Age]]&lt;=35),"26-35",AND(HR_Data[[#This Row],[Age]]&gt;=36,HR_Data[[#This Row],[Age]]&lt;=45),"36-45",HR_Data[[#This Row],[Age]]&gt;45,"45+")</f>
        <v>36-45</v>
      </c>
      <c r="AL12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81" spans="1:38"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f>IF(HR_Data[[#This Row],[Attrition]]="Yes",1,0)</f>
        <v>1</v>
      </c>
      <c r="AK1281" t="str">
        <f>_xlfn.IFS(AND(HR_Data[[#This Row],[Age]]&gt;=18,HR_Data[[#This Row],[Age]]&lt;=25),"18-25",AND(HR_Data[[#This Row],[Age]]&gt;=26,HR_Data[[#This Row],[Age]]&lt;=35),"26-35",AND(HR_Data[[#This Row],[Age]]&gt;=36,HR_Data[[#This Row],[Age]]&lt;=45),"36-45",HR_Data[[#This Row],[Age]]&gt;45,"45+")</f>
        <v>36-45</v>
      </c>
      <c r="AL12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82" spans="1:38"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f>IF(HR_Data[[#This Row],[Attrition]]="Yes",1,0)</f>
        <v>0</v>
      </c>
      <c r="AK1282" t="str">
        <f>_xlfn.IFS(AND(HR_Data[[#This Row],[Age]]&gt;=18,HR_Data[[#This Row],[Age]]&lt;=25),"18-25",AND(HR_Data[[#This Row],[Age]]&gt;=26,HR_Data[[#This Row],[Age]]&lt;=35),"26-35",AND(HR_Data[[#This Row],[Age]]&gt;=36,HR_Data[[#This Row],[Age]]&lt;=45),"36-45",HR_Data[[#This Row],[Age]]&gt;45,"45+")</f>
        <v>36-45</v>
      </c>
      <c r="AL12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83" spans="1:38"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f>IF(HR_Data[[#This Row],[Attrition]]="Yes",1,0)</f>
        <v>1</v>
      </c>
      <c r="AK1283" t="str">
        <f>_xlfn.IFS(AND(HR_Data[[#This Row],[Age]]&gt;=18,HR_Data[[#This Row],[Age]]&lt;=25),"18-25",AND(HR_Data[[#This Row],[Age]]&gt;=26,HR_Data[[#This Row],[Age]]&lt;=35),"26-35",AND(HR_Data[[#This Row],[Age]]&gt;=36,HR_Data[[#This Row],[Age]]&lt;=45),"36-45",HR_Data[[#This Row],[Age]]&gt;45,"45+")</f>
        <v>26-35</v>
      </c>
      <c r="AL12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84" spans="1:38"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f>IF(HR_Data[[#This Row],[Attrition]]="Yes",1,0)</f>
        <v>0</v>
      </c>
      <c r="AK1284" t="str">
        <f>_xlfn.IFS(AND(HR_Data[[#This Row],[Age]]&gt;=18,HR_Data[[#This Row],[Age]]&lt;=25),"18-25",AND(HR_Data[[#This Row],[Age]]&gt;=26,HR_Data[[#This Row],[Age]]&lt;=35),"26-35",AND(HR_Data[[#This Row],[Age]]&gt;=36,HR_Data[[#This Row],[Age]]&lt;=45),"36-45",HR_Data[[#This Row],[Age]]&gt;45,"45+")</f>
        <v>26-35</v>
      </c>
      <c r="AL12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85" spans="1:38"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f>IF(HR_Data[[#This Row],[Attrition]]="Yes",1,0)</f>
        <v>0</v>
      </c>
      <c r="AK1285" t="str">
        <f>_xlfn.IFS(AND(HR_Data[[#This Row],[Age]]&gt;=18,HR_Data[[#This Row],[Age]]&lt;=25),"18-25",AND(HR_Data[[#This Row],[Age]]&gt;=26,HR_Data[[#This Row],[Age]]&lt;=35),"26-35",AND(HR_Data[[#This Row],[Age]]&gt;=36,HR_Data[[#This Row],[Age]]&lt;=45),"36-45",HR_Data[[#This Row],[Age]]&gt;45,"45+")</f>
        <v>26-35</v>
      </c>
      <c r="AL12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86" spans="1:38"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f>IF(HR_Data[[#This Row],[Attrition]]="Yes",1,0)</f>
        <v>0</v>
      </c>
      <c r="AK1286" t="str">
        <f>_xlfn.IFS(AND(HR_Data[[#This Row],[Age]]&gt;=18,HR_Data[[#This Row],[Age]]&lt;=25),"18-25",AND(HR_Data[[#This Row],[Age]]&gt;=26,HR_Data[[#This Row],[Age]]&lt;=35),"26-35",AND(HR_Data[[#This Row],[Age]]&gt;=36,HR_Data[[#This Row],[Age]]&lt;=45),"36-45",HR_Data[[#This Row],[Age]]&gt;45,"45+")</f>
        <v>36-45</v>
      </c>
      <c r="AL12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87" spans="1:38"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f>IF(HR_Data[[#This Row],[Attrition]]="Yes",1,0)</f>
        <v>0</v>
      </c>
      <c r="AK1287" t="str">
        <f>_xlfn.IFS(AND(HR_Data[[#This Row],[Age]]&gt;=18,HR_Data[[#This Row],[Age]]&lt;=25),"18-25",AND(HR_Data[[#This Row],[Age]]&gt;=26,HR_Data[[#This Row],[Age]]&lt;=35),"26-35",AND(HR_Data[[#This Row],[Age]]&gt;=36,HR_Data[[#This Row],[Age]]&lt;=45),"36-45",HR_Data[[#This Row],[Age]]&gt;45,"45+")</f>
        <v>45+</v>
      </c>
      <c r="AL12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88" spans="1:38"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f>IF(HR_Data[[#This Row],[Attrition]]="Yes",1,0)</f>
        <v>0</v>
      </c>
      <c r="AK1288" t="str">
        <f>_xlfn.IFS(AND(HR_Data[[#This Row],[Age]]&gt;=18,HR_Data[[#This Row],[Age]]&lt;=25),"18-25",AND(HR_Data[[#This Row],[Age]]&gt;=26,HR_Data[[#This Row],[Age]]&lt;=35),"26-35",AND(HR_Data[[#This Row],[Age]]&gt;=36,HR_Data[[#This Row],[Age]]&lt;=45),"36-45",HR_Data[[#This Row],[Age]]&gt;45,"45+")</f>
        <v>36-45</v>
      </c>
      <c r="AL12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89" spans="1:38"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f>IF(HR_Data[[#This Row],[Attrition]]="Yes",1,0)</f>
        <v>0</v>
      </c>
      <c r="AK1289" t="str">
        <f>_xlfn.IFS(AND(HR_Data[[#This Row],[Age]]&gt;=18,HR_Data[[#This Row],[Age]]&lt;=25),"18-25",AND(HR_Data[[#This Row],[Age]]&gt;=26,HR_Data[[#This Row],[Age]]&lt;=35),"26-35",AND(HR_Data[[#This Row],[Age]]&gt;=36,HR_Data[[#This Row],[Age]]&lt;=45),"36-45",HR_Data[[#This Row],[Age]]&gt;45,"45+")</f>
        <v>36-45</v>
      </c>
      <c r="AL12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90" spans="1:38"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f>IF(HR_Data[[#This Row],[Attrition]]="Yes",1,0)</f>
        <v>0</v>
      </c>
      <c r="AK1290" t="str">
        <f>_xlfn.IFS(AND(HR_Data[[#This Row],[Age]]&gt;=18,HR_Data[[#This Row],[Age]]&lt;=25),"18-25",AND(HR_Data[[#This Row],[Age]]&gt;=26,HR_Data[[#This Row],[Age]]&lt;=35),"26-35",AND(HR_Data[[#This Row],[Age]]&gt;=36,HR_Data[[#This Row],[Age]]&lt;=45),"36-45",HR_Data[[#This Row],[Age]]&gt;45,"45+")</f>
        <v>26-35</v>
      </c>
      <c r="AL12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91" spans="1:38"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f>IF(HR_Data[[#This Row],[Attrition]]="Yes",1,0)</f>
        <v>0</v>
      </c>
      <c r="AK1291" t="str">
        <f>_xlfn.IFS(AND(HR_Data[[#This Row],[Age]]&gt;=18,HR_Data[[#This Row],[Age]]&lt;=25),"18-25",AND(HR_Data[[#This Row],[Age]]&gt;=26,HR_Data[[#This Row],[Age]]&lt;=35),"26-35",AND(HR_Data[[#This Row],[Age]]&gt;=36,HR_Data[[#This Row],[Age]]&lt;=45),"36-45",HR_Data[[#This Row],[Age]]&gt;45,"45+")</f>
        <v>36-45</v>
      </c>
      <c r="AL12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92" spans="1:38"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f>IF(HR_Data[[#This Row],[Attrition]]="Yes",1,0)</f>
        <v>1</v>
      </c>
      <c r="AK1292" t="str">
        <f>_xlfn.IFS(AND(HR_Data[[#This Row],[Age]]&gt;=18,HR_Data[[#This Row],[Age]]&lt;=25),"18-25",AND(HR_Data[[#This Row],[Age]]&gt;=26,HR_Data[[#This Row],[Age]]&lt;=35),"26-35",AND(HR_Data[[#This Row],[Age]]&gt;=36,HR_Data[[#This Row],[Age]]&lt;=45),"36-45",HR_Data[[#This Row],[Age]]&gt;45,"45+")</f>
        <v>26-35</v>
      </c>
      <c r="AL12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93" spans="1:38"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f>IF(HR_Data[[#This Row],[Attrition]]="Yes",1,0)</f>
        <v>1</v>
      </c>
      <c r="AK1293" t="str">
        <f>_xlfn.IFS(AND(HR_Data[[#This Row],[Age]]&gt;=18,HR_Data[[#This Row],[Age]]&lt;=25),"18-25",AND(HR_Data[[#This Row],[Age]]&gt;=26,HR_Data[[#This Row],[Age]]&lt;=35),"26-35",AND(HR_Data[[#This Row],[Age]]&gt;=36,HR_Data[[#This Row],[Age]]&lt;=45),"36-45",HR_Data[[#This Row],[Age]]&gt;45,"45+")</f>
        <v>36-45</v>
      </c>
      <c r="AL12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94" spans="1:38"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f>IF(HR_Data[[#This Row],[Attrition]]="Yes",1,0)</f>
        <v>0</v>
      </c>
      <c r="AK1294" t="str">
        <f>_xlfn.IFS(AND(HR_Data[[#This Row],[Age]]&gt;=18,HR_Data[[#This Row],[Age]]&lt;=25),"18-25",AND(HR_Data[[#This Row],[Age]]&gt;=26,HR_Data[[#This Row],[Age]]&lt;=35),"26-35",AND(HR_Data[[#This Row],[Age]]&gt;=36,HR_Data[[#This Row],[Age]]&lt;=45),"36-45",HR_Data[[#This Row],[Age]]&gt;45,"45+")</f>
        <v>36-45</v>
      </c>
      <c r="AL12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295" spans="1:38"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f>IF(HR_Data[[#This Row],[Attrition]]="Yes",1,0)</f>
        <v>0</v>
      </c>
      <c r="AK1295" t="str">
        <f>_xlfn.IFS(AND(HR_Data[[#This Row],[Age]]&gt;=18,HR_Data[[#This Row],[Age]]&lt;=25),"18-25",AND(HR_Data[[#This Row],[Age]]&gt;=26,HR_Data[[#This Row],[Age]]&lt;=35),"26-35",AND(HR_Data[[#This Row],[Age]]&gt;=36,HR_Data[[#This Row],[Age]]&lt;=45),"36-45",HR_Data[[#This Row],[Age]]&gt;45,"45+")</f>
        <v>36-45</v>
      </c>
      <c r="AL12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96" spans="1:38"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f>IF(HR_Data[[#This Row],[Attrition]]="Yes",1,0)</f>
        <v>0</v>
      </c>
      <c r="AK1296" t="str">
        <f>_xlfn.IFS(AND(HR_Data[[#This Row],[Age]]&gt;=18,HR_Data[[#This Row],[Age]]&lt;=25),"18-25",AND(HR_Data[[#This Row],[Age]]&gt;=26,HR_Data[[#This Row],[Age]]&lt;=35),"26-35",AND(HR_Data[[#This Row],[Age]]&gt;=36,HR_Data[[#This Row],[Age]]&lt;=45),"36-45",HR_Data[[#This Row],[Age]]&gt;45,"45+")</f>
        <v>36-45</v>
      </c>
      <c r="AL12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297" spans="1:38"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f>IF(HR_Data[[#This Row],[Attrition]]="Yes",1,0)</f>
        <v>0</v>
      </c>
      <c r="AK1297" t="str">
        <f>_xlfn.IFS(AND(HR_Data[[#This Row],[Age]]&gt;=18,HR_Data[[#This Row],[Age]]&lt;=25),"18-25",AND(HR_Data[[#This Row],[Age]]&gt;=26,HR_Data[[#This Row],[Age]]&lt;=35),"26-35",AND(HR_Data[[#This Row],[Age]]&gt;=36,HR_Data[[#This Row],[Age]]&lt;=45),"36-45",HR_Data[[#This Row],[Age]]&gt;45,"45+")</f>
        <v>36-45</v>
      </c>
      <c r="AL12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298" spans="1:38"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f>IF(HR_Data[[#This Row],[Attrition]]="Yes",1,0)</f>
        <v>0</v>
      </c>
      <c r="AK1298" t="str">
        <f>_xlfn.IFS(AND(HR_Data[[#This Row],[Age]]&gt;=18,HR_Data[[#This Row],[Age]]&lt;=25),"18-25",AND(HR_Data[[#This Row],[Age]]&gt;=26,HR_Data[[#This Row],[Age]]&lt;=35),"26-35",AND(HR_Data[[#This Row],[Age]]&gt;=36,HR_Data[[#This Row],[Age]]&lt;=45),"36-45",HR_Data[[#This Row],[Age]]&gt;45,"45+")</f>
        <v>26-35</v>
      </c>
      <c r="AL12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299" spans="1:38"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f>IF(HR_Data[[#This Row],[Attrition]]="Yes",1,0)</f>
        <v>1</v>
      </c>
      <c r="AK1299" t="str">
        <f>_xlfn.IFS(AND(HR_Data[[#This Row],[Age]]&gt;=18,HR_Data[[#This Row],[Age]]&lt;=25),"18-25",AND(HR_Data[[#This Row],[Age]]&gt;=26,HR_Data[[#This Row],[Age]]&lt;=35),"26-35",AND(HR_Data[[#This Row],[Age]]&gt;=36,HR_Data[[#This Row],[Age]]&lt;=45),"36-45",HR_Data[[#This Row],[Age]]&gt;45,"45+")</f>
        <v>26-35</v>
      </c>
      <c r="AL12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00" spans="1:38"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f>IF(HR_Data[[#This Row],[Attrition]]="Yes",1,0)</f>
        <v>1</v>
      </c>
      <c r="AK1300" t="str">
        <f>_xlfn.IFS(AND(HR_Data[[#This Row],[Age]]&gt;=18,HR_Data[[#This Row],[Age]]&lt;=25),"18-25",AND(HR_Data[[#This Row],[Age]]&gt;=26,HR_Data[[#This Row],[Age]]&lt;=35),"26-35",AND(HR_Data[[#This Row],[Age]]&gt;=36,HR_Data[[#This Row],[Age]]&lt;=45),"36-45",HR_Data[[#This Row],[Age]]&gt;45,"45+")</f>
        <v>45+</v>
      </c>
      <c r="AL13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01" spans="1:38"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f>IF(HR_Data[[#This Row],[Attrition]]="Yes",1,0)</f>
        <v>0</v>
      </c>
      <c r="AK1301" t="str">
        <f>_xlfn.IFS(AND(HR_Data[[#This Row],[Age]]&gt;=18,HR_Data[[#This Row],[Age]]&lt;=25),"18-25",AND(HR_Data[[#This Row],[Age]]&gt;=26,HR_Data[[#This Row],[Age]]&lt;=35),"26-35",AND(HR_Data[[#This Row],[Age]]&gt;=36,HR_Data[[#This Row],[Age]]&lt;=45),"36-45",HR_Data[[#This Row],[Age]]&gt;45,"45+")</f>
        <v>36-45</v>
      </c>
      <c r="AL13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02" spans="1:38"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f>IF(HR_Data[[#This Row],[Attrition]]="Yes",1,0)</f>
        <v>0</v>
      </c>
      <c r="AK1302" t="str">
        <f>_xlfn.IFS(AND(HR_Data[[#This Row],[Age]]&gt;=18,HR_Data[[#This Row],[Age]]&lt;=25),"18-25",AND(HR_Data[[#This Row],[Age]]&gt;=26,HR_Data[[#This Row],[Age]]&lt;=35),"26-35",AND(HR_Data[[#This Row],[Age]]&gt;=36,HR_Data[[#This Row],[Age]]&lt;=45),"36-45",HR_Data[[#This Row],[Age]]&gt;45,"45+")</f>
        <v>26-35</v>
      </c>
      <c r="AL13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03" spans="1:38"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f>IF(HR_Data[[#This Row],[Attrition]]="Yes",1,0)</f>
        <v>0</v>
      </c>
      <c r="AK1303" t="str">
        <f>_xlfn.IFS(AND(HR_Data[[#This Row],[Age]]&gt;=18,HR_Data[[#This Row],[Age]]&lt;=25),"18-25",AND(HR_Data[[#This Row],[Age]]&gt;=26,HR_Data[[#This Row],[Age]]&lt;=35),"26-35",AND(HR_Data[[#This Row],[Age]]&gt;=36,HR_Data[[#This Row],[Age]]&lt;=45),"36-45",HR_Data[[#This Row],[Age]]&gt;45,"45+")</f>
        <v>45+</v>
      </c>
      <c r="AL13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04" spans="1:38"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f>IF(HR_Data[[#This Row],[Attrition]]="Yes",1,0)</f>
        <v>0</v>
      </c>
      <c r="AK1304" t="str">
        <f>_xlfn.IFS(AND(HR_Data[[#This Row],[Age]]&gt;=18,HR_Data[[#This Row],[Age]]&lt;=25),"18-25",AND(HR_Data[[#This Row],[Age]]&gt;=26,HR_Data[[#This Row],[Age]]&lt;=35),"26-35",AND(HR_Data[[#This Row],[Age]]&gt;=36,HR_Data[[#This Row],[Age]]&lt;=45),"36-45",HR_Data[[#This Row],[Age]]&gt;45,"45+")</f>
        <v>26-35</v>
      </c>
      <c r="AL13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05" spans="1:38"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f>IF(HR_Data[[#This Row],[Attrition]]="Yes",1,0)</f>
        <v>0</v>
      </c>
      <c r="AK1305" t="str">
        <f>_xlfn.IFS(AND(HR_Data[[#This Row],[Age]]&gt;=18,HR_Data[[#This Row],[Age]]&lt;=25),"18-25",AND(HR_Data[[#This Row],[Age]]&gt;=26,HR_Data[[#This Row],[Age]]&lt;=35),"26-35",AND(HR_Data[[#This Row],[Age]]&gt;=36,HR_Data[[#This Row],[Age]]&lt;=45),"36-45",HR_Data[[#This Row],[Age]]&gt;45,"45+")</f>
        <v>45+</v>
      </c>
      <c r="AL13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06" spans="1:38"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f>IF(HR_Data[[#This Row],[Attrition]]="Yes",1,0)</f>
        <v>0</v>
      </c>
      <c r="AK1306" t="str">
        <f>_xlfn.IFS(AND(HR_Data[[#This Row],[Age]]&gt;=18,HR_Data[[#This Row],[Age]]&lt;=25),"18-25",AND(HR_Data[[#This Row],[Age]]&gt;=26,HR_Data[[#This Row],[Age]]&lt;=35),"26-35",AND(HR_Data[[#This Row],[Age]]&gt;=36,HR_Data[[#This Row],[Age]]&lt;=45),"36-45",HR_Data[[#This Row],[Age]]&gt;45,"45+")</f>
        <v>36-45</v>
      </c>
      <c r="AL13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07" spans="1:38"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f>IF(HR_Data[[#This Row],[Attrition]]="Yes",1,0)</f>
        <v>0</v>
      </c>
      <c r="AK1307" t="str">
        <f>_xlfn.IFS(AND(HR_Data[[#This Row],[Age]]&gt;=18,HR_Data[[#This Row],[Age]]&lt;=25),"18-25",AND(HR_Data[[#This Row],[Age]]&gt;=26,HR_Data[[#This Row],[Age]]&lt;=35),"26-35",AND(HR_Data[[#This Row],[Age]]&gt;=36,HR_Data[[#This Row],[Age]]&lt;=45),"36-45",HR_Data[[#This Row],[Age]]&gt;45,"45+")</f>
        <v>45+</v>
      </c>
      <c r="AL13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08" spans="1:38"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f>IF(HR_Data[[#This Row],[Attrition]]="Yes",1,0)</f>
        <v>0</v>
      </c>
      <c r="AK1308" t="str">
        <f>_xlfn.IFS(AND(HR_Data[[#This Row],[Age]]&gt;=18,HR_Data[[#This Row],[Age]]&lt;=25),"18-25",AND(HR_Data[[#This Row],[Age]]&gt;=26,HR_Data[[#This Row],[Age]]&lt;=35),"26-35",AND(HR_Data[[#This Row],[Age]]&gt;=36,HR_Data[[#This Row],[Age]]&lt;=45),"36-45",HR_Data[[#This Row],[Age]]&gt;45,"45+")</f>
        <v>26-35</v>
      </c>
      <c r="AL13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09" spans="1:38"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f>IF(HR_Data[[#This Row],[Attrition]]="Yes",1,0)</f>
        <v>0</v>
      </c>
      <c r="AK1309" t="str">
        <f>_xlfn.IFS(AND(HR_Data[[#This Row],[Age]]&gt;=18,HR_Data[[#This Row],[Age]]&lt;=25),"18-25",AND(HR_Data[[#This Row],[Age]]&gt;=26,HR_Data[[#This Row],[Age]]&lt;=35),"26-35",AND(HR_Data[[#This Row],[Age]]&gt;=36,HR_Data[[#This Row],[Age]]&lt;=45),"36-45",HR_Data[[#This Row],[Age]]&gt;45,"45+")</f>
        <v>26-35</v>
      </c>
      <c r="AL13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10" spans="1:38"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f>IF(HR_Data[[#This Row],[Attrition]]="Yes",1,0)</f>
        <v>0</v>
      </c>
      <c r="AK1310" t="str">
        <f>_xlfn.IFS(AND(HR_Data[[#This Row],[Age]]&gt;=18,HR_Data[[#This Row],[Age]]&lt;=25),"18-25",AND(HR_Data[[#This Row],[Age]]&gt;=26,HR_Data[[#This Row],[Age]]&lt;=35),"26-35",AND(HR_Data[[#This Row],[Age]]&gt;=36,HR_Data[[#This Row],[Age]]&lt;=45),"36-45",HR_Data[[#This Row],[Age]]&gt;45,"45+")</f>
        <v>36-45</v>
      </c>
      <c r="AL13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11" spans="1:38"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f>IF(HR_Data[[#This Row],[Attrition]]="Yes",1,0)</f>
        <v>0</v>
      </c>
      <c r="AK1311" t="str">
        <f>_xlfn.IFS(AND(HR_Data[[#This Row],[Age]]&gt;=18,HR_Data[[#This Row],[Age]]&lt;=25),"18-25",AND(HR_Data[[#This Row],[Age]]&gt;=26,HR_Data[[#This Row],[Age]]&lt;=35),"26-35",AND(HR_Data[[#This Row],[Age]]&gt;=36,HR_Data[[#This Row],[Age]]&lt;=45),"36-45",HR_Data[[#This Row],[Age]]&gt;45,"45+")</f>
        <v>26-35</v>
      </c>
      <c r="AL13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12" spans="1:38"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f>IF(HR_Data[[#This Row],[Attrition]]="Yes",1,0)</f>
        <v>0</v>
      </c>
      <c r="AK1312" t="str">
        <f>_xlfn.IFS(AND(HR_Data[[#This Row],[Age]]&gt;=18,HR_Data[[#This Row],[Age]]&lt;=25),"18-25",AND(HR_Data[[#This Row],[Age]]&gt;=26,HR_Data[[#This Row],[Age]]&lt;=35),"26-35",AND(HR_Data[[#This Row],[Age]]&gt;=36,HR_Data[[#This Row],[Age]]&lt;=45),"36-45",HR_Data[[#This Row],[Age]]&gt;45,"45+")</f>
        <v>45+</v>
      </c>
      <c r="AL13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13" spans="1:38"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f>IF(HR_Data[[#This Row],[Attrition]]="Yes",1,0)</f>
        <v>0</v>
      </c>
      <c r="AK1313" t="str">
        <f>_xlfn.IFS(AND(HR_Data[[#This Row],[Age]]&gt;=18,HR_Data[[#This Row],[Age]]&lt;=25),"18-25",AND(HR_Data[[#This Row],[Age]]&gt;=26,HR_Data[[#This Row],[Age]]&lt;=35),"26-35",AND(HR_Data[[#This Row],[Age]]&gt;=36,HR_Data[[#This Row],[Age]]&lt;=45),"36-45",HR_Data[[#This Row],[Age]]&gt;45,"45+")</f>
        <v>18-25</v>
      </c>
      <c r="AL13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14" spans="1:38"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f>IF(HR_Data[[#This Row],[Attrition]]="Yes",1,0)</f>
        <v>1</v>
      </c>
      <c r="AK1314" t="str">
        <f>_xlfn.IFS(AND(HR_Data[[#This Row],[Age]]&gt;=18,HR_Data[[#This Row],[Age]]&lt;=25),"18-25",AND(HR_Data[[#This Row],[Age]]&gt;=26,HR_Data[[#This Row],[Age]]&lt;=35),"26-35",AND(HR_Data[[#This Row],[Age]]&gt;=36,HR_Data[[#This Row],[Age]]&lt;=45),"36-45",HR_Data[[#This Row],[Age]]&gt;45,"45+")</f>
        <v>26-35</v>
      </c>
      <c r="AL13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15" spans="1:38"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f>IF(HR_Data[[#This Row],[Attrition]]="Yes",1,0)</f>
        <v>1</v>
      </c>
      <c r="AK1315" t="str">
        <f>_xlfn.IFS(AND(HR_Data[[#This Row],[Age]]&gt;=18,HR_Data[[#This Row],[Age]]&lt;=25),"18-25",AND(HR_Data[[#This Row],[Age]]&gt;=26,HR_Data[[#This Row],[Age]]&lt;=35),"26-35",AND(HR_Data[[#This Row],[Age]]&gt;=36,HR_Data[[#This Row],[Age]]&lt;=45),"36-45",HR_Data[[#This Row],[Age]]&gt;45,"45+")</f>
        <v>26-35</v>
      </c>
      <c r="AL13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16" spans="1:38"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f>IF(HR_Data[[#This Row],[Attrition]]="Yes",1,0)</f>
        <v>0</v>
      </c>
      <c r="AK1316" t="str">
        <f>_xlfn.IFS(AND(HR_Data[[#This Row],[Age]]&gt;=18,HR_Data[[#This Row],[Age]]&lt;=25),"18-25",AND(HR_Data[[#This Row],[Age]]&gt;=26,HR_Data[[#This Row],[Age]]&lt;=35),"26-35",AND(HR_Data[[#This Row],[Age]]&gt;=36,HR_Data[[#This Row],[Age]]&lt;=45),"36-45",HR_Data[[#This Row],[Age]]&gt;45,"45+")</f>
        <v>36-45</v>
      </c>
      <c r="AL13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17" spans="1:38"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f>IF(HR_Data[[#This Row],[Attrition]]="Yes",1,0)</f>
        <v>0</v>
      </c>
      <c r="AK1317" t="str">
        <f>_xlfn.IFS(AND(HR_Data[[#This Row],[Age]]&gt;=18,HR_Data[[#This Row],[Age]]&lt;=25),"18-25",AND(HR_Data[[#This Row],[Age]]&gt;=26,HR_Data[[#This Row],[Age]]&lt;=35),"26-35",AND(HR_Data[[#This Row],[Age]]&gt;=36,HR_Data[[#This Row],[Age]]&lt;=45),"36-45",HR_Data[[#This Row],[Age]]&gt;45,"45+")</f>
        <v>36-45</v>
      </c>
      <c r="AL13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18" spans="1:38"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f>IF(HR_Data[[#This Row],[Attrition]]="Yes",1,0)</f>
        <v>0</v>
      </c>
      <c r="AK1318" t="str">
        <f>_xlfn.IFS(AND(HR_Data[[#This Row],[Age]]&gt;=18,HR_Data[[#This Row],[Age]]&lt;=25),"18-25",AND(HR_Data[[#This Row],[Age]]&gt;=26,HR_Data[[#This Row],[Age]]&lt;=35),"26-35",AND(HR_Data[[#This Row],[Age]]&gt;=36,HR_Data[[#This Row],[Age]]&lt;=45),"36-45",HR_Data[[#This Row],[Age]]&gt;45,"45+")</f>
        <v>36-45</v>
      </c>
      <c r="AL13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19" spans="1:38"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f>IF(HR_Data[[#This Row],[Attrition]]="Yes",1,0)</f>
        <v>0</v>
      </c>
      <c r="AK1319" t="str">
        <f>_xlfn.IFS(AND(HR_Data[[#This Row],[Age]]&gt;=18,HR_Data[[#This Row],[Age]]&lt;=25),"18-25",AND(HR_Data[[#This Row],[Age]]&gt;=26,HR_Data[[#This Row],[Age]]&lt;=35),"26-35",AND(HR_Data[[#This Row],[Age]]&gt;=36,HR_Data[[#This Row],[Age]]&lt;=45),"36-45",HR_Data[[#This Row],[Age]]&gt;45,"45+")</f>
        <v>26-35</v>
      </c>
      <c r="AL13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20" spans="1:38"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f>IF(HR_Data[[#This Row],[Attrition]]="Yes",1,0)</f>
        <v>0</v>
      </c>
      <c r="AK1320" t="str">
        <f>_xlfn.IFS(AND(HR_Data[[#This Row],[Age]]&gt;=18,HR_Data[[#This Row],[Age]]&lt;=25),"18-25",AND(HR_Data[[#This Row],[Age]]&gt;=26,HR_Data[[#This Row],[Age]]&lt;=35),"26-35",AND(HR_Data[[#This Row],[Age]]&gt;=36,HR_Data[[#This Row],[Age]]&lt;=45),"36-45",HR_Data[[#This Row],[Age]]&gt;45,"45+")</f>
        <v>26-35</v>
      </c>
      <c r="AL13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21" spans="1:38"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f>IF(HR_Data[[#This Row],[Attrition]]="Yes",1,0)</f>
        <v>0</v>
      </c>
      <c r="AK1321" t="str">
        <f>_xlfn.IFS(AND(HR_Data[[#This Row],[Age]]&gt;=18,HR_Data[[#This Row],[Age]]&lt;=25),"18-25",AND(HR_Data[[#This Row],[Age]]&gt;=26,HR_Data[[#This Row],[Age]]&lt;=35),"26-35",AND(HR_Data[[#This Row],[Age]]&gt;=36,HR_Data[[#This Row],[Age]]&lt;=45),"36-45",HR_Data[[#This Row],[Age]]&gt;45,"45+")</f>
        <v>26-35</v>
      </c>
      <c r="AL13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22" spans="1:38"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f>IF(HR_Data[[#This Row],[Attrition]]="Yes",1,0)</f>
        <v>0</v>
      </c>
      <c r="AK1322" t="str">
        <f>_xlfn.IFS(AND(HR_Data[[#This Row],[Age]]&gt;=18,HR_Data[[#This Row],[Age]]&lt;=25),"18-25",AND(HR_Data[[#This Row],[Age]]&gt;=26,HR_Data[[#This Row],[Age]]&lt;=35),"26-35",AND(HR_Data[[#This Row],[Age]]&gt;=36,HR_Data[[#This Row],[Age]]&lt;=45),"36-45",HR_Data[[#This Row],[Age]]&gt;45,"45+")</f>
        <v>36-45</v>
      </c>
      <c r="AL13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23" spans="1:38"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f>IF(HR_Data[[#This Row],[Attrition]]="Yes",1,0)</f>
        <v>0</v>
      </c>
      <c r="AK1323" t="str">
        <f>_xlfn.IFS(AND(HR_Data[[#This Row],[Age]]&gt;=18,HR_Data[[#This Row],[Age]]&lt;=25),"18-25",AND(HR_Data[[#This Row],[Age]]&gt;=26,HR_Data[[#This Row],[Age]]&lt;=35),"26-35",AND(HR_Data[[#This Row],[Age]]&gt;=36,HR_Data[[#This Row],[Age]]&lt;=45),"36-45",HR_Data[[#This Row],[Age]]&gt;45,"45+")</f>
        <v>45+</v>
      </c>
      <c r="AL13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24" spans="1:38"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f>IF(HR_Data[[#This Row],[Attrition]]="Yes",1,0)</f>
        <v>0</v>
      </c>
      <c r="AK1324" t="str">
        <f>_xlfn.IFS(AND(HR_Data[[#This Row],[Age]]&gt;=18,HR_Data[[#This Row],[Age]]&lt;=25),"18-25",AND(HR_Data[[#This Row],[Age]]&gt;=26,HR_Data[[#This Row],[Age]]&lt;=35),"26-35",AND(HR_Data[[#This Row],[Age]]&gt;=36,HR_Data[[#This Row],[Age]]&lt;=45),"36-45",HR_Data[[#This Row],[Age]]&gt;45,"45+")</f>
        <v>45+</v>
      </c>
      <c r="AL13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25" spans="1:38"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f>IF(HR_Data[[#This Row],[Attrition]]="Yes",1,0)</f>
        <v>0</v>
      </c>
      <c r="AK1325" t="str">
        <f>_xlfn.IFS(AND(HR_Data[[#This Row],[Age]]&gt;=18,HR_Data[[#This Row],[Age]]&lt;=25),"18-25",AND(HR_Data[[#This Row],[Age]]&gt;=26,HR_Data[[#This Row],[Age]]&lt;=35),"26-35",AND(HR_Data[[#This Row],[Age]]&gt;=36,HR_Data[[#This Row],[Age]]&lt;=45),"36-45",HR_Data[[#This Row],[Age]]&gt;45,"45+")</f>
        <v>26-35</v>
      </c>
      <c r="AL13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26" spans="1:38"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f>IF(HR_Data[[#This Row],[Attrition]]="Yes",1,0)</f>
        <v>0</v>
      </c>
      <c r="AK1326" t="str">
        <f>_xlfn.IFS(AND(HR_Data[[#This Row],[Age]]&gt;=18,HR_Data[[#This Row],[Age]]&lt;=25),"18-25",AND(HR_Data[[#This Row],[Age]]&gt;=26,HR_Data[[#This Row],[Age]]&lt;=35),"26-35",AND(HR_Data[[#This Row],[Age]]&gt;=36,HR_Data[[#This Row],[Age]]&lt;=45),"36-45",HR_Data[[#This Row],[Age]]&gt;45,"45+")</f>
        <v>26-35</v>
      </c>
      <c r="AL13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27" spans="1:38"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f>IF(HR_Data[[#This Row],[Attrition]]="Yes",1,0)</f>
        <v>0</v>
      </c>
      <c r="AK1327" t="str">
        <f>_xlfn.IFS(AND(HR_Data[[#This Row],[Age]]&gt;=18,HR_Data[[#This Row],[Age]]&lt;=25),"18-25",AND(HR_Data[[#This Row],[Age]]&gt;=26,HR_Data[[#This Row],[Age]]&lt;=35),"26-35",AND(HR_Data[[#This Row],[Age]]&gt;=36,HR_Data[[#This Row],[Age]]&lt;=45),"36-45",HR_Data[[#This Row],[Age]]&gt;45,"45+")</f>
        <v>36-45</v>
      </c>
      <c r="AL13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28" spans="1:38"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f>IF(HR_Data[[#This Row],[Attrition]]="Yes",1,0)</f>
        <v>1</v>
      </c>
      <c r="AK1328" t="str">
        <f>_xlfn.IFS(AND(HR_Data[[#This Row],[Age]]&gt;=18,HR_Data[[#This Row],[Age]]&lt;=25),"18-25",AND(HR_Data[[#This Row],[Age]]&gt;=26,HR_Data[[#This Row],[Age]]&lt;=35),"26-35",AND(HR_Data[[#This Row],[Age]]&gt;=36,HR_Data[[#This Row],[Age]]&lt;=45),"36-45",HR_Data[[#This Row],[Age]]&gt;45,"45+")</f>
        <v>26-35</v>
      </c>
      <c r="AL13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29" spans="1:38"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f>IF(HR_Data[[#This Row],[Attrition]]="Yes",1,0)</f>
        <v>0</v>
      </c>
      <c r="AK1329" t="str">
        <f>_xlfn.IFS(AND(HR_Data[[#This Row],[Age]]&gt;=18,HR_Data[[#This Row],[Age]]&lt;=25),"18-25",AND(HR_Data[[#This Row],[Age]]&gt;=26,HR_Data[[#This Row],[Age]]&lt;=35),"26-35",AND(HR_Data[[#This Row],[Age]]&gt;=36,HR_Data[[#This Row],[Age]]&lt;=45),"36-45",HR_Data[[#This Row],[Age]]&gt;45,"45+")</f>
        <v>45+</v>
      </c>
      <c r="AL13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30" spans="1:38"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f>IF(HR_Data[[#This Row],[Attrition]]="Yes",1,0)</f>
        <v>0</v>
      </c>
      <c r="AK1330" t="str">
        <f>_xlfn.IFS(AND(HR_Data[[#This Row],[Age]]&gt;=18,HR_Data[[#This Row],[Age]]&lt;=25),"18-25",AND(HR_Data[[#This Row],[Age]]&gt;=26,HR_Data[[#This Row],[Age]]&lt;=35),"26-35",AND(HR_Data[[#This Row],[Age]]&gt;=36,HR_Data[[#This Row],[Age]]&lt;=45),"36-45",HR_Data[[#This Row],[Age]]&gt;45,"45+")</f>
        <v>26-35</v>
      </c>
      <c r="AL13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31" spans="1:38"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f>IF(HR_Data[[#This Row],[Attrition]]="Yes",1,0)</f>
        <v>0</v>
      </c>
      <c r="AK1331" t="str">
        <f>_xlfn.IFS(AND(HR_Data[[#This Row],[Age]]&gt;=18,HR_Data[[#This Row],[Age]]&lt;=25),"18-25",AND(HR_Data[[#This Row],[Age]]&gt;=26,HR_Data[[#This Row],[Age]]&lt;=35),"26-35",AND(HR_Data[[#This Row],[Age]]&gt;=36,HR_Data[[#This Row],[Age]]&lt;=45),"36-45",HR_Data[[#This Row],[Age]]&gt;45,"45+")</f>
        <v>26-35</v>
      </c>
      <c r="AL13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32" spans="1:38"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f>IF(HR_Data[[#This Row],[Attrition]]="Yes",1,0)</f>
        <v>0</v>
      </c>
      <c r="AK1332" t="str">
        <f>_xlfn.IFS(AND(HR_Data[[#This Row],[Age]]&gt;=18,HR_Data[[#This Row],[Age]]&lt;=25),"18-25",AND(HR_Data[[#This Row],[Age]]&gt;=26,HR_Data[[#This Row],[Age]]&lt;=35),"26-35",AND(HR_Data[[#This Row],[Age]]&gt;=36,HR_Data[[#This Row],[Age]]&lt;=45),"36-45",HR_Data[[#This Row],[Age]]&gt;45,"45+")</f>
        <v>36-45</v>
      </c>
      <c r="AL13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33" spans="1:38"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f>IF(HR_Data[[#This Row],[Attrition]]="Yes",1,0)</f>
        <v>0</v>
      </c>
      <c r="AK1333" t="str">
        <f>_xlfn.IFS(AND(HR_Data[[#This Row],[Age]]&gt;=18,HR_Data[[#This Row],[Age]]&lt;=25),"18-25",AND(HR_Data[[#This Row],[Age]]&gt;=26,HR_Data[[#This Row],[Age]]&lt;=35),"26-35",AND(HR_Data[[#This Row],[Age]]&gt;=36,HR_Data[[#This Row],[Age]]&lt;=45),"36-45",HR_Data[[#This Row],[Age]]&gt;45,"45+")</f>
        <v>45+</v>
      </c>
      <c r="AL13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34" spans="1:38"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f>IF(HR_Data[[#This Row],[Attrition]]="Yes",1,0)</f>
        <v>1</v>
      </c>
      <c r="AK1334" t="str">
        <f>_xlfn.IFS(AND(HR_Data[[#This Row],[Age]]&gt;=18,HR_Data[[#This Row],[Age]]&lt;=25),"18-25",AND(HR_Data[[#This Row],[Age]]&gt;=26,HR_Data[[#This Row],[Age]]&lt;=35),"26-35",AND(HR_Data[[#This Row],[Age]]&gt;=36,HR_Data[[#This Row],[Age]]&lt;=45),"36-45",HR_Data[[#This Row],[Age]]&gt;45,"45+")</f>
        <v>26-35</v>
      </c>
      <c r="AL13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35" spans="1:38"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f>IF(HR_Data[[#This Row],[Attrition]]="Yes",1,0)</f>
        <v>1</v>
      </c>
      <c r="AK1335" t="str">
        <f>_xlfn.IFS(AND(HR_Data[[#This Row],[Age]]&gt;=18,HR_Data[[#This Row],[Age]]&lt;=25),"18-25",AND(HR_Data[[#This Row],[Age]]&gt;=26,HR_Data[[#This Row],[Age]]&lt;=35),"26-35",AND(HR_Data[[#This Row],[Age]]&gt;=36,HR_Data[[#This Row],[Age]]&lt;=45),"36-45",HR_Data[[#This Row],[Age]]&gt;45,"45+")</f>
        <v>45+</v>
      </c>
      <c r="AL13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36" spans="1:38"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f>IF(HR_Data[[#This Row],[Attrition]]="Yes",1,0)</f>
        <v>0</v>
      </c>
      <c r="AK1336" t="str">
        <f>_xlfn.IFS(AND(HR_Data[[#This Row],[Age]]&gt;=18,HR_Data[[#This Row],[Age]]&lt;=25),"18-25",AND(HR_Data[[#This Row],[Age]]&gt;=26,HR_Data[[#This Row],[Age]]&lt;=35),"26-35",AND(HR_Data[[#This Row],[Age]]&gt;=36,HR_Data[[#This Row],[Age]]&lt;=45),"36-45",HR_Data[[#This Row],[Age]]&gt;45,"45+")</f>
        <v>26-35</v>
      </c>
      <c r="AL13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37" spans="1:38"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f>IF(HR_Data[[#This Row],[Attrition]]="Yes",1,0)</f>
        <v>0</v>
      </c>
      <c r="AK1337" t="str">
        <f>_xlfn.IFS(AND(HR_Data[[#This Row],[Age]]&gt;=18,HR_Data[[#This Row],[Age]]&lt;=25),"18-25",AND(HR_Data[[#This Row],[Age]]&gt;=26,HR_Data[[#This Row],[Age]]&lt;=35),"26-35",AND(HR_Data[[#This Row],[Age]]&gt;=36,HR_Data[[#This Row],[Age]]&lt;=45),"36-45",HR_Data[[#This Row],[Age]]&gt;45,"45+")</f>
        <v>36-45</v>
      </c>
      <c r="AL13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38" spans="1:38"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f>IF(HR_Data[[#This Row],[Attrition]]="Yes",1,0)</f>
        <v>0</v>
      </c>
      <c r="AK1338" t="str">
        <f>_xlfn.IFS(AND(HR_Data[[#This Row],[Age]]&gt;=18,HR_Data[[#This Row],[Age]]&lt;=25),"18-25",AND(HR_Data[[#This Row],[Age]]&gt;=26,HR_Data[[#This Row],[Age]]&lt;=35),"26-35",AND(HR_Data[[#This Row],[Age]]&gt;=36,HR_Data[[#This Row],[Age]]&lt;=45),"36-45",HR_Data[[#This Row],[Age]]&gt;45,"45+")</f>
        <v>45+</v>
      </c>
      <c r="AL13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39" spans="1:38"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f>IF(HR_Data[[#This Row],[Attrition]]="Yes",1,0)</f>
        <v>0</v>
      </c>
      <c r="AK1339" t="str">
        <f>_xlfn.IFS(AND(HR_Data[[#This Row],[Age]]&gt;=18,HR_Data[[#This Row],[Age]]&lt;=25),"18-25",AND(HR_Data[[#This Row],[Age]]&gt;=26,HR_Data[[#This Row],[Age]]&lt;=35),"26-35",AND(HR_Data[[#This Row],[Age]]&gt;=36,HR_Data[[#This Row],[Age]]&lt;=45),"36-45",HR_Data[[#This Row],[Age]]&gt;45,"45+")</f>
        <v>26-35</v>
      </c>
      <c r="AL13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40" spans="1:38"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f>IF(HR_Data[[#This Row],[Attrition]]="Yes",1,0)</f>
        <v>1</v>
      </c>
      <c r="AK1340" t="str">
        <f>_xlfn.IFS(AND(HR_Data[[#This Row],[Age]]&gt;=18,HR_Data[[#This Row],[Age]]&lt;=25),"18-25",AND(HR_Data[[#This Row],[Age]]&gt;=26,HR_Data[[#This Row],[Age]]&lt;=35),"26-35",AND(HR_Data[[#This Row],[Age]]&gt;=36,HR_Data[[#This Row],[Age]]&lt;=45),"36-45",HR_Data[[#This Row],[Age]]&gt;45,"45+")</f>
        <v>26-35</v>
      </c>
      <c r="AL13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41" spans="1:38"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f>IF(HR_Data[[#This Row],[Attrition]]="Yes",1,0)</f>
        <v>1</v>
      </c>
      <c r="AK1341" t="str">
        <f>_xlfn.IFS(AND(HR_Data[[#This Row],[Age]]&gt;=18,HR_Data[[#This Row],[Age]]&lt;=25),"18-25",AND(HR_Data[[#This Row],[Age]]&gt;=26,HR_Data[[#This Row],[Age]]&lt;=35),"26-35",AND(HR_Data[[#This Row],[Age]]&gt;=36,HR_Data[[#This Row],[Age]]&lt;=45),"36-45",HR_Data[[#This Row],[Age]]&gt;45,"45+")</f>
        <v>18-25</v>
      </c>
      <c r="AL13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42" spans="1:38"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f>IF(HR_Data[[#This Row],[Attrition]]="Yes",1,0)</f>
        <v>0</v>
      </c>
      <c r="AK1342" t="str">
        <f>_xlfn.IFS(AND(HR_Data[[#This Row],[Age]]&gt;=18,HR_Data[[#This Row],[Age]]&lt;=25),"18-25",AND(HR_Data[[#This Row],[Age]]&gt;=26,HR_Data[[#This Row],[Age]]&lt;=35),"26-35",AND(HR_Data[[#This Row],[Age]]&gt;=36,HR_Data[[#This Row],[Age]]&lt;=45),"36-45",HR_Data[[#This Row],[Age]]&gt;45,"45+")</f>
        <v>36-45</v>
      </c>
      <c r="AL13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43" spans="1:38"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f>IF(HR_Data[[#This Row],[Attrition]]="Yes",1,0)</f>
        <v>0</v>
      </c>
      <c r="AK1343" t="str">
        <f>_xlfn.IFS(AND(HR_Data[[#This Row],[Age]]&gt;=18,HR_Data[[#This Row],[Age]]&lt;=25),"18-25",AND(HR_Data[[#This Row],[Age]]&gt;=26,HR_Data[[#This Row],[Age]]&lt;=35),"26-35",AND(HR_Data[[#This Row],[Age]]&gt;=36,HR_Data[[#This Row],[Age]]&lt;=45),"36-45",HR_Data[[#This Row],[Age]]&gt;45,"45+")</f>
        <v>26-35</v>
      </c>
      <c r="AL13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44" spans="1:38"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f>IF(HR_Data[[#This Row],[Attrition]]="Yes",1,0)</f>
        <v>0</v>
      </c>
      <c r="AK1344" t="str">
        <f>_xlfn.IFS(AND(HR_Data[[#This Row],[Age]]&gt;=18,HR_Data[[#This Row],[Age]]&lt;=25),"18-25",AND(HR_Data[[#This Row],[Age]]&gt;=26,HR_Data[[#This Row],[Age]]&lt;=35),"26-35",AND(HR_Data[[#This Row],[Age]]&gt;=36,HR_Data[[#This Row],[Age]]&lt;=45),"36-45",HR_Data[[#This Row],[Age]]&gt;45,"45+")</f>
        <v>26-35</v>
      </c>
      <c r="AL13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45" spans="1:38"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f>IF(HR_Data[[#This Row],[Attrition]]="Yes",1,0)</f>
        <v>0</v>
      </c>
      <c r="AK1345" t="str">
        <f>_xlfn.IFS(AND(HR_Data[[#This Row],[Age]]&gt;=18,HR_Data[[#This Row],[Age]]&lt;=25),"18-25",AND(HR_Data[[#This Row],[Age]]&gt;=26,HR_Data[[#This Row],[Age]]&lt;=35),"26-35",AND(HR_Data[[#This Row],[Age]]&gt;=36,HR_Data[[#This Row],[Age]]&lt;=45),"36-45",HR_Data[[#This Row],[Age]]&gt;45,"45+")</f>
        <v>26-35</v>
      </c>
      <c r="AL13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46" spans="1:38"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f>IF(HR_Data[[#This Row],[Attrition]]="Yes",1,0)</f>
        <v>0</v>
      </c>
      <c r="AK1346" t="str">
        <f>_xlfn.IFS(AND(HR_Data[[#This Row],[Age]]&gt;=18,HR_Data[[#This Row],[Age]]&lt;=25),"18-25",AND(HR_Data[[#This Row],[Age]]&gt;=26,HR_Data[[#This Row],[Age]]&lt;=35),"26-35",AND(HR_Data[[#This Row],[Age]]&gt;=36,HR_Data[[#This Row],[Age]]&lt;=45),"36-45",HR_Data[[#This Row],[Age]]&gt;45,"45+")</f>
        <v>36-45</v>
      </c>
      <c r="AL13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47" spans="1:38"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f>IF(HR_Data[[#This Row],[Attrition]]="Yes",1,0)</f>
        <v>0</v>
      </c>
      <c r="AK1347" t="str">
        <f>_xlfn.IFS(AND(HR_Data[[#This Row],[Age]]&gt;=18,HR_Data[[#This Row],[Age]]&lt;=25),"18-25",AND(HR_Data[[#This Row],[Age]]&gt;=26,HR_Data[[#This Row],[Age]]&lt;=35),"26-35",AND(HR_Data[[#This Row],[Age]]&gt;=36,HR_Data[[#This Row],[Age]]&lt;=45),"36-45",HR_Data[[#This Row],[Age]]&gt;45,"45+")</f>
        <v>26-35</v>
      </c>
      <c r="AL13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48" spans="1:38"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f>IF(HR_Data[[#This Row],[Attrition]]="Yes",1,0)</f>
        <v>0</v>
      </c>
      <c r="AK1348" t="str">
        <f>_xlfn.IFS(AND(HR_Data[[#This Row],[Age]]&gt;=18,HR_Data[[#This Row],[Age]]&lt;=25),"18-25",AND(HR_Data[[#This Row],[Age]]&gt;=26,HR_Data[[#This Row],[Age]]&lt;=35),"26-35",AND(HR_Data[[#This Row],[Age]]&gt;=36,HR_Data[[#This Row],[Age]]&lt;=45),"36-45",HR_Data[[#This Row],[Age]]&gt;45,"45+")</f>
        <v>36-45</v>
      </c>
      <c r="AL13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49" spans="1:38"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f>IF(HR_Data[[#This Row],[Attrition]]="Yes",1,0)</f>
        <v>0</v>
      </c>
      <c r="AK1349" t="str">
        <f>_xlfn.IFS(AND(HR_Data[[#This Row],[Age]]&gt;=18,HR_Data[[#This Row],[Age]]&lt;=25),"18-25",AND(HR_Data[[#This Row],[Age]]&gt;=26,HR_Data[[#This Row],[Age]]&lt;=35),"26-35",AND(HR_Data[[#This Row],[Age]]&gt;=36,HR_Data[[#This Row],[Age]]&lt;=45),"36-45",HR_Data[[#This Row],[Age]]&gt;45,"45+")</f>
        <v>36-45</v>
      </c>
      <c r="AL13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50" spans="1:38"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f>IF(HR_Data[[#This Row],[Attrition]]="Yes",1,0)</f>
        <v>0</v>
      </c>
      <c r="AK1350" t="str">
        <f>_xlfn.IFS(AND(HR_Data[[#This Row],[Age]]&gt;=18,HR_Data[[#This Row],[Age]]&lt;=25),"18-25",AND(HR_Data[[#This Row],[Age]]&gt;=26,HR_Data[[#This Row],[Age]]&lt;=35),"26-35",AND(HR_Data[[#This Row],[Age]]&gt;=36,HR_Data[[#This Row],[Age]]&lt;=45),"36-45",HR_Data[[#This Row],[Age]]&gt;45,"45+")</f>
        <v>36-45</v>
      </c>
      <c r="AL13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51" spans="1:38"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f>IF(HR_Data[[#This Row],[Attrition]]="Yes",1,0)</f>
        <v>0</v>
      </c>
      <c r="AK1351" t="str">
        <f>_xlfn.IFS(AND(HR_Data[[#This Row],[Age]]&gt;=18,HR_Data[[#This Row],[Age]]&lt;=25),"18-25",AND(HR_Data[[#This Row],[Age]]&gt;=26,HR_Data[[#This Row],[Age]]&lt;=35),"26-35",AND(HR_Data[[#This Row],[Age]]&gt;=36,HR_Data[[#This Row],[Age]]&lt;=45),"36-45",HR_Data[[#This Row],[Age]]&gt;45,"45+")</f>
        <v>26-35</v>
      </c>
      <c r="AL13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52" spans="1:38"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f>IF(HR_Data[[#This Row],[Attrition]]="Yes",1,0)</f>
        <v>0</v>
      </c>
      <c r="AK1352" t="str">
        <f>_xlfn.IFS(AND(HR_Data[[#This Row],[Age]]&gt;=18,HR_Data[[#This Row],[Age]]&lt;=25),"18-25",AND(HR_Data[[#This Row],[Age]]&gt;=26,HR_Data[[#This Row],[Age]]&lt;=35),"26-35",AND(HR_Data[[#This Row],[Age]]&gt;=36,HR_Data[[#This Row],[Age]]&lt;=45),"36-45",HR_Data[[#This Row],[Age]]&gt;45,"45+")</f>
        <v>26-35</v>
      </c>
      <c r="AL13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53" spans="1:38"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f>IF(HR_Data[[#This Row],[Attrition]]="Yes",1,0)</f>
        <v>0</v>
      </c>
      <c r="AK1353" t="str">
        <f>_xlfn.IFS(AND(HR_Data[[#This Row],[Age]]&gt;=18,HR_Data[[#This Row],[Age]]&lt;=25),"18-25",AND(HR_Data[[#This Row],[Age]]&gt;=26,HR_Data[[#This Row],[Age]]&lt;=35),"26-35",AND(HR_Data[[#This Row],[Age]]&gt;=36,HR_Data[[#This Row],[Age]]&lt;=45),"36-45",HR_Data[[#This Row],[Age]]&gt;45,"45+")</f>
        <v>45+</v>
      </c>
      <c r="AL13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54" spans="1:38"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f>IF(HR_Data[[#This Row],[Attrition]]="Yes",1,0)</f>
        <v>0</v>
      </c>
      <c r="AK1354" t="str">
        <f>_xlfn.IFS(AND(HR_Data[[#This Row],[Age]]&gt;=18,HR_Data[[#This Row],[Age]]&lt;=25),"18-25",AND(HR_Data[[#This Row],[Age]]&gt;=26,HR_Data[[#This Row],[Age]]&lt;=35),"26-35",AND(HR_Data[[#This Row],[Age]]&gt;=36,HR_Data[[#This Row],[Age]]&lt;=45),"36-45",HR_Data[[#This Row],[Age]]&gt;45,"45+")</f>
        <v>36-45</v>
      </c>
      <c r="AL13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55" spans="1:38"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f>IF(HR_Data[[#This Row],[Attrition]]="Yes",1,0)</f>
        <v>1</v>
      </c>
      <c r="AK1355" t="str">
        <f>_xlfn.IFS(AND(HR_Data[[#This Row],[Age]]&gt;=18,HR_Data[[#This Row],[Age]]&lt;=25),"18-25",AND(HR_Data[[#This Row],[Age]]&gt;=26,HR_Data[[#This Row],[Age]]&lt;=35),"26-35",AND(HR_Data[[#This Row],[Age]]&gt;=36,HR_Data[[#This Row],[Age]]&lt;=45),"36-45",HR_Data[[#This Row],[Age]]&gt;45,"45+")</f>
        <v>26-35</v>
      </c>
      <c r="AL13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56" spans="1:38"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f>IF(HR_Data[[#This Row],[Attrition]]="Yes",1,0)</f>
        <v>1</v>
      </c>
      <c r="AK1356" t="str">
        <f>_xlfn.IFS(AND(HR_Data[[#This Row],[Age]]&gt;=18,HR_Data[[#This Row],[Age]]&lt;=25),"18-25",AND(HR_Data[[#This Row],[Age]]&gt;=26,HR_Data[[#This Row],[Age]]&lt;=35),"26-35",AND(HR_Data[[#This Row],[Age]]&gt;=36,HR_Data[[#This Row],[Age]]&lt;=45),"36-45",HR_Data[[#This Row],[Age]]&gt;45,"45+")</f>
        <v>45+</v>
      </c>
      <c r="AL13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57" spans="1:38"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f>IF(HR_Data[[#This Row],[Attrition]]="Yes",1,0)</f>
        <v>0</v>
      </c>
      <c r="AK1357" t="str">
        <f>_xlfn.IFS(AND(HR_Data[[#This Row],[Age]]&gt;=18,HR_Data[[#This Row],[Age]]&lt;=25),"18-25",AND(HR_Data[[#This Row],[Age]]&gt;=26,HR_Data[[#This Row],[Age]]&lt;=35),"26-35",AND(HR_Data[[#This Row],[Age]]&gt;=36,HR_Data[[#This Row],[Age]]&lt;=45),"36-45",HR_Data[[#This Row],[Age]]&gt;45,"45+")</f>
        <v>36-45</v>
      </c>
      <c r="AL13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58" spans="1:38"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f>IF(HR_Data[[#This Row],[Attrition]]="Yes",1,0)</f>
        <v>0</v>
      </c>
      <c r="AK1358" t="str">
        <f>_xlfn.IFS(AND(HR_Data[[#This Row],[Age]]&gt;=18,HR_Data[[#This Row],[Age]]&lt;=25),"18-25",AND(HR_Data[[#This Row],[Age]]&gt;=26,HR_Data[[#This Row],[Age]]&lt;=35),"26-35",AND(HR_Data[[#This Row],[Age]]&gt;=36,HR_Data[[#This Row],[Age]]&lt;=45),"36-45",HR_Data[[#This Row],[Age]]&gt;45,"45+")</f>
        <v>36-45</v>
      </c>
      <c r="AL13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59" spans="1:38"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f>IF(HR_Data[[#This Row],[Attrition]]="Yes",1,0)</f>
        <v>0</v>
      </c>
      <c r="AK1359" t="str">
        <f>_xlfn.IFS(AND(HR_Data[[#This Row],[Age]]&gt;=18,HR_Data[[#This Row],[Age]]&lt;=25),"18-25",AND(HR_Data[[#This Row],[Age]]&gt;=26,HR_Data[[#This Row],[Age]]&lt;=35),"26-35",AND(HR_Data[[#This Row],[Age]]&gt;=36,HR_Data[[#This Row],[Age]]&lt;=45),"36-45",HR_Data[[#This Row],[Age]]&gt;45,"45+")</f>
        <v>36-45</v>
      </c>
      <c r="AL13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60" spans="1:38"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f>IF(HR_Data[[#This Row],[Attrition]]="Yes",1,0)</f>
        <v>0</v>
      </c>
      <c r="AK1360" t="str">
        <f>_xlfn.IFS(AND(HR_Data[[#This Row],[Age]]&gt;=18,HR_Data[[#This Row],[Age]]&lt;=25),"18-25",AND(HR_Data[[#This Row],[Age]]&gt;=26,HR_Data[[#This Row],[Age]]&lt;=35),"26-35",AND(HR_Data[[#This Row],[Age]]&gt;=36,HR_Data[[#This Row],[Age]]&lt;=45),"36-45",HR_Data[[#This Row],[Age]]&gt;45,"45+")</f>
        <v>26-35</v>
      </c>
      <c r="AL13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61" spans="1:38"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f>IF(HR_Data[[#This Row],[Attrition]]="Yes",1,0)</f>
        <v>0</v>
      </c>
      <c r="AK1361" t="str">
        <f>_xlfn.IFS(AND(HR_Data[[#This Row],[Age]]&gt;=18,HR_Data[[#This Row],[Age]]&lt;=25),"18-25",AND(HR_Data[[#This Row],[Age]]&gt;=26,HR_Data[[#This Row],[Age]]&lt;=35),"26-35",AND(HR_Data[[#This Row],[Age]]&gt;=36,HR_Data[[#This Row],[Age]]&lt;=45),"36-45",HR_Data[[#This Row],[Age]]&gt;45,"45+")</f>
        <v>26-35</v>
      </c>
      <c r="AL13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62" spans="1:38"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f>IF(HR_Data[[#This Row],[Attrition]]="Yes",1,0)</f>
        <v>0</v>
      </c>
      <c r="AK1362" t="str">
        <f>_xlfn.IFS(AND(HR_Data[[#This Row],[Age]]&gt;=18,HR_Data[[#This Row],[Age]]&lt;=25),"18-25",AND(HR_Data[[#This Row],[Age]]&gt;=26,HR_Data[[#This Row],[Age]]&lt;=35),"26-35",AND(HR_Data[[#This Row],[Age]]&gt;=36,HR_Data[[#This Row],[Age]]&lt;=45),"36-45",HR_Data[[#This Row],[Age]]&gt;45,"45+")</f>
        <v>26-35</v>
      </c>
      <c r="AL13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63" spans="1:38"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f>IF(HR_Data[[#This Row],[Attrition]]="Yes",1,0)</f>
        <v>0</v>
      </c>
      <c r="AK1363" t="str">
        <f>_xlfn.IFS(AND(HR_Data[[#This Row],[Age]]&gt;=18,HR_Data[[#This Row],[Age]]&lt;=25),"18-25",AND(HR_Data[[#This Row],[Age]]&gt;=26,HR_Data[[#This Row],[Age]]&lt;=35),"26-35",AND(HR_Data[[#This Row],[Age]]&gt;=36,HR_Data[[#This Row],[Age]]&lt;=45),"36-45",HR_Data[[#This Row],[Age]]&gt;45,"45+")</f>
        <v>26-35</v>
      </c>
      <c r="AL13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64" spans="1:38"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f>IF(HR_Data[[#This Row],[Attrition]]="Yes",1,0)</f>
        <v>0</v>
      </c>
      <c r="AK1364" t="str">
        <f>_xlfn.IFS(AND(HR_Data[[#This Row],[Age]]&gt;=18,HR_Data[[#This Row],[Age]]&lt;=25),"18-25",AND(HR_Data[[#This Row],[Age]]&gt;=26,HR_Data[[#This Row],[Age]]&lt;=35),"26-35",AND(HR_Data[[#This Row],[Age]]&gt;=36,HR_Data[[#This Row],[Age]]&lt;=45),"36-45",HR_Data[[#This Row],[Age]]&gt;45,"45+")</f>
        <v>36-45</v>
      </c>
      <c r="AL13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65" spans="1:38"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f>IF(HR_Data[[#This Row],[Attrition]]="Yes",1,0)</f>
        <v>0</v>
      </c>
      <c r="AK1365" t="str">
        <f>_xlfn.IFS(AND(HR_Data[[#This Row],[Age]]&gt;=18,HR_Data[[#This Row],[Age]]&lt;=25),"18-25",AND(HR_Data[[#This Row],[Age]]&gt;=26,HR_Data[[#This Row],[Age]]&lt;=35),"26-35",AND(HR_Data[[#This Row],[Age]]&gt;=36,HR_Data[[#This Row],[Age]]&lt;=45),"36-45",HR_Data[[#This Row],[Age]]&gt;45,"45+")</f>
        <v>26-35</v>
      </c>
      <c r="AL13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66" spans="1:38"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f>IF(HR_Data[[#This Row],[Attrition]]="Yes",1,0)</f>
        <v>0</v>
      </c>
      <c r="AK1366" t="str">
        <f>_xlfn.IFS(AND(HR_Data[[#This Row],[Age]]&gt;=18,HR_Data[[#This Row],[Age]]&lt;=25),"18-25",AND(HR_Data[[#This Row],[Age]]&gt;=26,HR_Data[[#This Row],[Age]]&lt;=35),"26-35",AND(HR_Data[[#This Row],[Age]]&gt;=36,HR_Data[[#This Row],[Age]]&lt;=45),"36-45",HR_Data[[#This Row],[Age]]&gt;45,"45+")</f>
        <v>26-35</v>
      </c>
      <c r="AL13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67" spans="1:38"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f>IF(HR_Data[[#This Row],[Attrition]]="Yes",1,0)</f>
        <v>1</v>
      </c>
      <c r="AK1367" t="str">
        <f>_xlfn.IFS(AND(HR_Data[[#This Row],[Age]]&gt;=18,HR_Data[[#This Row],[Age]]&lt;=25),"18-25",AND(HR_Data[[#This Row],[Age]]&gt;=26,HR_Data[[#This Row],[Age]]&lt;=35),"26-35",AND(HR_Data[[#This Row],[Age]]&gt;=36,HR_Data[[#This Row],[Age]]&lt;=45),"36-45",HR_Data[[#This Row],[Age]]&gt;45,"45+")</f>
        <v>26-35</v>
      </c>
      <c r="AL13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68" spans="1:38"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f>IF(HR_Data[[#This Row],[Attrition]]="Yes",1,0)</f>
        <v>0</v>
      </c>
      <c r="AK1368" t="str">
        <f>_xlfn.IFS(AND(HR_Data[[#This Row],[Age]]&gt;=18,HR_Data[[#This Row],[Age]]&lt;=25),"18-25",AND(HR_Data[[#This Row],[Age]]&gt;=26,HR_Data[[#This Row],[Age]]&lt;=35),"26-35",AND(HR_Data[[#This Row],[Age]]&gt;=36,HR_Data[[#This Row],[Age]]&lt;=45),"36-45",HR_Data[[#This Row],[Age]]&gt;45,"45+")</f>
        <v>36-45</v>
      </c>
      <c r="AL13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69" spans="1:38"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f>IF(HR_Data[[#This Row],[Attrition]]="Yes",1,0)</f>
        <v>0</v>
      </c>
      <c r="AK1369" t="str">
        <f>_xlfn.IFS(AND(HR_Data[[#This Row],[Age]]&gt;=18,HR_Data[[#This Row],[Age]]&lt;=25),"18-25",AND(HR_Data[[#This Row],[Age]]&gt;=26,HR_Data[[#This Row],[Age]]&lt;=35),"26-35",AND(HR_Data[[#This Row],[Age]]&gt;=36,HR_Data[[#This Row],[Age]]&lt;=45),"36-45",HR_Data[[#This Row],[Age]]&gt;45,"45+")</f>
        <v>26-35</v>
      </c>
      <c r="AL13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70" spans="1:38"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f>IF(HR_Data[[#This Row],[Attrition]]="Yes",1,0)</f>
        <v>0</v>
      </c>
      <c r="AK1370" t="str">
        <f>_xlfn.IFS(AND(HR_Data[[#This Row],[Age]]&gt;=18,HR_Data[[#This Row],[Age]]&lt;=25),"18-25",AND(HR_Data[[#This Row],[Age]]&gt;=26,HR_Data[[#This Row],[Age]]&lt;=35),"26-35",AND(HR_Data[[#This Row],[Age]]&gt;=36,HR_Data[[#This Row],[Age]]&lt;=45),"36-45",HR_Data[[#This Row],[Age]]&gt;45,"45+")</f>
        <v>26-35</v>
      </c>
      <c r="AL13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71" spans="1:38"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f>IF(HR_Data[[#This Row],[Attrition]]="Yes",1,0)</f>
        <v>1</v>
      </c>
      <c r="AK1371" t="str">
        <f>_xlfn.IFS(AND(HR_Data[[#This Row],[Age]]&gt;=18,HR_Data[[#This Row],[Age]]&lt;=25),"18-25",AND(HR_Data[[#This Row],[Age]]&gt;=26,HR_Data[[#This Row],[Age]]&lt;=35),"26-35",AND(HR_Data[[#This Row],[Age]]&gt;=36,HR_Data[[#This Row],[Age]]&lt;=45),"36-45",HR_Data[[#This Row],[Age]]&gt;45,"45+")</f>
        <v>26-35</v>
      </c>
      <c r="AL13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72" spans="1:38"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f>IF(HR_Data[[#This Row],[Attrition]]="Yes",1,0)</f>
        <v>0</v>
      </c>
      <c r="AK1372" t="str">
        <f>_xlfn.IFS(AND(HR_Data[[#This Row],[Age]]&gt;=18,HR_Data[[#This Row],[Age]]&lt;=25),"18-25",AND(HR_Data[[#This Row],[Age]]&gt;=26,HR_Data[[#This Row],[Age]]&lt;=35),"26-35",AND(HR_Data[[#This Row],[Age]]&gt;=36,HR_Data[[#This Row],[Age]]&lt;=45),"36-45",HR_Data[[#This Row],[Age]]&gt;45,"45+")</f>
        <v>45+</v>
      </c>
      <c r="AL137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73" spans="1:38"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f>IF(HR_Data[[#This Row],[Attrition]]="Yes",1,0)</f>
        <v>0</v>
      </c>
      <c r="AK1373" t="str">
        <f>_xlfn.IFS(AND(HR_Data[[#This Row],[Age]]&gt;=18,HR_Data[[#This Row],[Age]]&lt;=25),"18-25",AND(HR_Data[[#This Row],[Age]]&gt;=26,HR_Data[[#This Row],[Age]]&lt;=35),"26-35",AND(HR_Data[[#This Row],[Age]]&gt;=36,HR_Data[[#This Row],[Age]]&lt;=45),"36-45",HR_Data[[#This Row],[Age]]&gt;45,"45+")</f>
        <v>45+</v>
      </c>
      <c r="AL137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74" spans="1:38"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f>IF(HR_Data[[#This Row],[Attrition]]="Yes",1,0)</f>
        <v>0</v>
      </c>
      <c r="AK1374" t="str">
        <f>_xlfn.IFS(AND(HR_Data[[#This Row],[Age]]&gt;=18,HR_Data[[#This Row],[Age]]&lt;=25),"18-25",AND(HR_Data[[#This Row],[Age]]&gt;=26,HR_Data[[#This Row],[Age]]&lt;=35),"26-35",AND(HR_Data[[#This Row],[Age]]&gt;=36,HR_Data[[#This Row],[Age]]&lt;=45),"36-45",HR_Data[[#This Row],[Age]]&gt;45,"45+")</f>
        <v>36-45</v>
      </c>
      <c r="AL137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75" spans="1:38"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f>IF(HR_Data[[#This Row],[Attrition]]="Yes",1,0)</f>
        <v>0</v>
      </c>
      <c r="AK1375" t="str">
        <f>_xlfn.IFS(AND(HR_Data[[#This Row],[Age]]&gt;=18,HR_Data[[#This Row],[Age]]&lt;=25),"18-25",AND(HR_Data[[#This Row],[Age]]&gt;=26,HR_Data[[#This Row],[Age]]&lt;=35),"26-35",AND(HR_Data[[#This Row],[Age]]&gt;=36,HR_Data[[#This Row],[Age]]&lt;=45),"36-45",HR_Data[[#This Row],[Age]]&gt;45,"45+")</f>
        <v>36-45</v>
      </c>
      <c r="AL137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76" spans="1:38"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f>IF(HR_Data[[#This Row],[Attrition]]="Yes",1,0)</f>
        <v>0</v>
      </c>
      <c r="AK1376" t="str">
        <f>_xlfn.IFS(AND(HR_Data[[#This Row],[Age]]&gt;=18,HR_Data[[#This Row],[Age]]&lt;=25),"18-25",AND(HR_Data[[#This Row],[Age]]&gt;=26,HR_Data[[#This Row],[Age]]&lt;=35),"26-35",AND(HR_Data[[#This Row],[Age]]&gt;=36,HR_Data[[#This Row],[Age]]&lt;=45),"36-45",HR_Data[[#This Row],[Age]]&gt;45,"45+")</f>
        <v>45+</v>
      </c>
      <c r="AL137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77" spans="1:38"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f>IF(HR_Data[[#This Row],[Attrition]]="Yes",1,0)</f>
        <v>1</v>
      </c>
      <c r="AK1377" t="str">
        <f>_xlfn.IFS(AND(HR_Data[[#This Row],[Age]]&gt;=18,HR_Data[[#This Row],[Age]]&lt;=25),"18-25",AND(HR_Data[[#This Row],[Age]]&gt;=26,HR_Data[[#This Row],[Age]]&lt;=35),"26-35",AND(HR_Data[[#This Row],[Age]]&gt;=36,HR_Data[[#This Row],[Age]]&lt;=45),"36-45",HR_Data[[#This Row],[Age]]&gt;45,"45+")</f>
        <v>26-35</v>
      </c>
      <c r="AL137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78" spans="1:38"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f>IF(HR_Data[[#This Row],[Attrition]]="Yes",1,0)</f>
        <v>0</v>
      </c>
      <c r="AK1378" t="str">
        <f>_xlfn.IFS(AND(HR_Data[[#This Row],[Age]]&gt;=18,HR_Data[[#This Row],[Age]]&lt;=25),"18-25",AND(HR_Data[[#This Row],[Age]]&gt;=26,HR_Data[[#This Row],[Age]]&lt;=35),"26-35",AND(HR_Data[[#This Row],[Age]]&gt;=36,HR_Data[[#This Row],[Age]]&lt;=45),"36-45",HR_Data[[#This Row],[Age]]&gt;45,"45+")</f>
        <v>36-45</v>
      </c>
      <c r="AL137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79" spans="1:38"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f>IF(HR_Data[[#This Row],[Attrition]]="Yes",1,0)</f>
        <v>0</v>
      </c>
      <c r="AK1379" t="str">
        <f>_xlfn.IFS(AND(HR_Data[[#This Row],[Age]]&gt;=18,HR_Data[[#This Row],[Age]]&lt;=25),"18-25",AND(HR_Data[[#This Row],[Age]]&gt;=26,HR_Data[[#This Row],[Age]]&lt;=35),"26-35",AND(HR_Data[[#This Row],[Age]]&gt;=36,HR_Data[[#This Row],[Age]]&lt;=45),"36-45",HR_Data[[#This Row],[Age]]&gt;45,"45+")</f>
        <v>45+</v>
      </c>
      <c r="AL137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80" spans="1:38"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f>IF(HR_Data[[#This Row],[Attrition]]="Yes",1,0)</f>
        <v>0</v>
      </c>
      <c r="AK1380" t="str">
        <f>_xlfn.IFS(AND(HR_Data[[#This Row],[Age]]&gt;=18,HR_Data[[#This Row],[Age]]&lt;=25),"18-25",AND(HR_Data[[#This Row],[Age]]&gt;=26,HR_Data[[#This Row],[Age]]&lt;=35),"26-35",AND(HR_Data[[#This Row],[Age]]&gt;=36,HR_Data[[#This Row],[Age]]&lt;=45),"36-45",HR_Data[[#This Row],[Age]]&gt;45,"45+")</f>
        <v>36-45</v>
      </c>
      <c r="AL138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81" spans="1:38"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f>IF(HR_Data[[#This Row],[Attrition]]="Yes",1,0)</f>
        <v>1</v>
      </c>
      <c r="AK1381" t="str">
        <f>_xlfn.IFS(AND(HR_Data[[#This Row],[Age]]&gt;=18,HR_Data[[#This Row],[Age]]&lt;=25),"18-25",AND(HR_Data[[#This Row],[Age]]&gt;=26,HR_Data[[#This Row],[Age]]&lt;=35),"26-35",AND(HR_Data[[#This Row],[Age]]&gt;=36,HR_Data[[#This Row],[Age]]&lt;=45),"36-45",HR_Data[[#This Row],[Age]]&gt;45,"45+")</f>
        <v>26-35</v>
      </c>
      <c r="AL138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82" spans="1:38"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f>IF(HR_Data[[#This Row],[Attrition]]="Yes",1,0)</f>
        <v>0</v>
      </c>
      <c r="AK1382" t="str">
        <f>_xlfn.IFS(AND(HR_Data[[#This Row],[Age]]&gt;=18,HR_Data[[#This Row],[Age]]&lt;=25),"18-25",AND(HR_Data[[#This Row],[Age]]&gt;=26,HR_Data[[#This Row],[Age]]&lt;=35),"26-35",AND(HR_Data[[#This Row],[Age]]&gt;=36,HR_Data[[#This Row],[Age]]&lt;=45),"36-45",HR_Data[[#This Row],[Age]]&gt;45,"45+")</f>
        <v>26-35</v>
      </c>
      <c r="AL138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83" spans="1:38"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f>IF(HR_Data[[#This Row],[Attrition]]="Yes",1,0)</f>
        <v>0</v>
      </c>
      <c r="AK1383" t="str">
        <f>_xlfn.IFS(AND(HR_Data[[#This Row],[Age]]&gt;=18,HR_Data[[#This Row],[Age]]&lt;=25),"18-25",AND(HR_Data[[#This Row],[Age]]&gt;=26,HR_Data[[#This Row],[Age]]&lt;=35),"26-35",AND(HR_Data[[#This Row],[Age]]&gt;=36,HR_Data[[#This Row],[Age]]&lt;=45),"36-45",HR_Data[[#This Row],[Age]]&gt;45,"45+")</f>
        <v>26-35</v>
      </c>
      <c r="AL138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84" spans="1:38"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f>IF(HR_Data[[#This Row],[Attrition]]="Yes",1,0)</f>
        <v>0</v>
      </c>
      <c r="AK1384" t="str">
        <f>_xlfn.IFS(AND(HR_Data[[#This Row],[Age]]&gt;=18,HR_Data[[#This Row],[Age]]&lt;=25),"18-25",AND(HR_Data[[#This Row],[Age]]&gt;=26,HR_Data[[#This Row],[Age]]&lt;=35),"26-35",AND(HR_Data[[#This Row],[Age]]&gt;=36,HR_Data[[#This Row],[Age]]&lt;=45),"36-45",HR_Data[[#This Row],[Age]]&gt;45,"45+")</f>
        <v>26-35</v>
      </c>
      <c r="AL138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85" spans="1:38"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f>IF(HR_Data[[#This Row],[Attrition]]="Yes",1,0)</f>
        <v>0</v>
      </c>
      <c r="AK1385" t="str">
        <f>_xlfn.IFS(AND(HR_Data[[#This Row],[Age]]&gt;=18,HR_Data[[#This Row],[Age]]&lt;=25),"18-25",AND(HR_Data[[#This Row],[Age]]&gt;=26,HR_Data[[#This Row],[Age]]&lt;=35),"26-35",AND(HR_Data[[#This Row],[Age]]&gt;=36,HR_Data[[#This Row],[Age]]&lt;=45),"36-45",HR_Data[[#This Row],[Age]]&gt;45,"45+")</f>
        <v>36-45</v>
      </c>
      <c r="AL138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86" spans="1:38"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f>IF(HR_Data[[#This Row],[Attrition]]="Yes",1,0)</f>
        <v>0</v>
      </c>
      <c r="AK1386" t="str">
        <f>_xlfn.IFS(AND(HR_Data[[#This Row],[Age]]&gt;=18,HR_Data[[#This Row],[Age]]&lt;=25),"18-25",AND(HR_Data[[#This Row],[Age]]&gt;=26,HR_Data[[#This Row],[Age]]&lt;=35),"26-35",AND(HR_Data[[#This Row],[Age]]&gt;=36,HR_Data[[#This Row],[Age]]&lt;=45),"36-45",HR_Data[[#This Row],[Age]]&gt;45,"45+")</f>
        <v>26-35</v>
      </c>
      <c r="AL138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387" spans="1:38"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f>IF(HR_Data[[#This Row],[Attrition]]="Yes",1,0)</f>
        <v>0</v>
      </c>
      <c r="AK1387" t="str">
        <f>_xlfn.IFS(AND(HR_Data[[#This Row],[Age]]&gt;=18,HR_Data[[#This Row],[Age]]&lt;=25),"18-25",AND(HR_Data[[#This Row],[Age]]&gt;=26,HR_Data[[#This Row],[Age]]&lt;=35),"26-35",AND(HR_Data[[#This Row],[Age]]&gt;=36,HR_Data[[#This Row],[Age]]&lt;=45),"36-45",HR_Data[[#This Row],[Age]]&gt;45,"45+")</f>
        <v>26-35</v>
      </c>
      <c r="AL138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88" spans="1:38"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f>IF(HR_Data[[#This Row],[Attrition]]="Yes",1,0)</f>
        <v>0</v>
      </c>
      <c r="AK1388" t="str">
        <f>_xlfn.IFS(AND(HR_Data[[#This Row],[Age]]&gt;=18,HR_Data[[#This Row],[Age]]&lt;=25),"18-25",AND(HR_Data[[#This Row],[Age]]&gt;=26,HR_Data[[#This Row],[Age]]&lt;=35),"26-35",AND(HR_Data[[#This Row],[Age]]&gt;=36,HR_Data[[#This Row],[Age]]&lt;=45),"36-45",HR_Data[[#This Row],[Age]]&gt;45,"45+")</f>
        <v>26-35</v>
      </c>
      <c r="AL138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89" spans="1:38"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f>IF(HR_Data[[#This Row],[Attrition]]="Yes",1,0)</f>
        <v>0</v>
      </c>
      <c r="AK1389" t="str">
        <f>_xlfn.IFS(AND(HR_Data[[#This Row],[Age]]&gt;=18,HR_Data[[#This Row],[Age]]&lt;=25),"18-25",AND(HR_Data[[#This Row],[Age]]&gt;=26,HR_Data[[#This Row],[Age]]&lt;=35),"26-35",AND(HR_Data[[#This Row],[Age]]&gt;=36,HR_Data[[#This Row],[Age]]&lt;=45),"36-45",HR_Data[[#This Row],[Age]]&gt;45,"45+")</f>
        <v>26-35</v>
      </c>
      <c r="AL138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90" spans="1:38"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f>IF(HR_Data[[#This Row],[Attrition]]="Yes",1,0)</f>
        <v>0</v>
      </c>
      <c r="AK1390" t="str">
        <f>_xlfn.IFS(AND(HR_Data[[#This Row],[Age]]&gt;=18,HR_Data[[#This Row],[Age]]&lt;=25),"18-25",AND(HR_Data[[#This Row],[Age]]&gt;=26,HR_Data[[#This Row],[Age]]&lt;=35),"26-35",AND(HR_Data[[#This Row],[Age]]&gt;=36,HR_Data[[#This Row],[Age]]&lt;=45),"36-45",HR_Data[[#This Row],[Age]]&gt;45,"45+")</f>
        <v>26-35</v>
      </c>
      <c r="AL139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91" spans="1:38"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f>IF(HR_Data[[#This Row],[Attrition]]="Yes",1,0)</f>
        <v>0</v>
      </c>
      <c r="AK1391" t="str">
        <f>_xlfn.IFS(AND(HR_Data[[#This Row],[Age]]&gt;=18,HR_Data[[#This Row],[Age]]&lt;=25),"18-25",AND(HR_Data[[#This Row],[Age]]&gt;=26,HR_Data[[#This Row],[Age]]&lt;=35),"26-35",AND(HR_Data[[#This Row],[Age]]&gt;=36,HR_Data[[#This Row],[Age]]&lt;=45),"36-45",HR_Data[[#This Row],[Age]]&gt;45,"45+")</f>
        <v>26-35</v>
      </c>
      <c r="AL139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92" spans="1:38"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f>IF(HR_Data[[#This Row],[Attrition]]="Yes",1,0)</f>
        <v>1</v>
      </c>
      <c r="AK1392" t="str">
        <f>_xlfn.IFS(AND(HR_Data[[#This Row],[Age]]&gt;=18,HR_Data[[#This Row],[Age]]&lt;=25),"18-25",AND(HR_Data[[#This Row],[Age]]&gt;=26,HR_Data[[#This Row],[Age]]&lt;=35),"26-35",AND(HR_Data[[#This Row],[Age]]&gt;=36,HR_Data[[#This Row],[Age]]&lt;=45),"36-45",HR_Data[[#This Row],[Age]]&gt;45,"45+")</f>
        <v>26-35</v>
      </c>
      <c r="AL139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393" spans="1:38"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f>IF(HR_Data[[#This Row],[Attrition]]="Yes",1,0)</f>
        <v>0</v>
      </c>
      <c r="AK1393" t="str">
        <f>_xlfn.IFS(AND(HR_Data[[#This Row],[Age]]&gt;=18,HR_Data[[#This Row],[Age]]&lt;=25),"18-25",AND(HR_Data[[#This Row],[Age]]&gt;=26,HR_Data[[#This Row],[Age]]&lt;=35),"26-35",AND(HR_Data[[#This Row],[Age]]&gt;=36,HR_Data[[#This Row],[Age]]&lt;=45),"36-45",HR_Data[[#This Row],[Age]]&gt;45,"45+")</f>
        <v>36-45</v>
      </c>
      <c r="AL139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94" spans="1:38"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f>IF(HR_Data[[#This Row],[Attrition]]="Yes",1,0)</f>
        <v>0</v>
      </c>
      <c r="AK1394" t="str">
        <f>_xlfn.IFS(AND(HR_Data[[#This Row],[Age]]&gt;=18,HR_Data[[#This Row],[Age]]&lt;=25),"18-25",AND(HR_Data[[#This Row],[Age]]&gt;=26,HR_Data[[#This Row],[Age]]&lt;=35),"26-35",AND(HR_Data[[#This Row],[Age]]&gt;=36,HR_Data[[#This Row],[Age]]&lt;=45),"36-45",HR_Data[[#This Row],[Age]]&gt;45,"45+")</f>
        <v>26-35</v>
      </c>
      <c r="AL139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95" spans="1:38"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f>IF(HR_Data[[#This Row],[Attrition]]="Yes",1,0)</f>
        <v>0</v>
      </c>
      <c r="AK1395" t="str">
        <f>_xlfn.IFS(AND(HR_Data[[#This Row],[Age]]&gt;=18,HR_Data[[#This Row],[Age]]&lt;=25),"18-25",AND(HR_Data[[#This Row],[Age]]&gt;=26,HR_Data[[#This Row],[Age]]&lt;=35),"26-35",AND(HR_Data[[#This Row],[Age]]&gt;=36,HR_Data[[#This Row],[Age]]&lt;=45),"36-45",HR_Data[[#This Row],[Age]]&gt;45,"45+")</f>
        <v>26-35</v>
      </c>
      <c r="AL139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96" spans="1:38"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f>IF(HR_Data[[#This Row],[Attrition]]="Yes",1,0)</f>
        <v>0</v>
      </c>
      <c r="AK1396" t="str">
        <f>_xlfn.IFS(AND(HR_Data[[#This Row],[Age]]&gt;=18,HR_Data[[#This Row],[Age]]&lt;=25),"18-25",AND(HR_Data[[#This Row],[Age]]&gt;=26,HR_Data[[#This Row],[Age]]&lt;=35),"26-35",AND(HR_Data[[#This Row],[Age]]&gt;=36,HR_Data[[#This Row],[Age]]&lt;=45),"36-45",HR_Data[[#This Row],[Age]]&gt;45,"45+")</f>
        <v>26-35</v>
      </c>
      <c r="AL139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97" spans="1:38"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f>IF(HR_Data[[#This Row],[Attrition]]="Yes",1,0)</f>
        <v>1</v>
      </c>
      <c r="AK1397" t="str">
        <f>_xlfn.IFS(AND(HR_Data[[#This Row],[Age]]&gt;=18,HR_Data[[#This Row],[Age]]&lt;=25),"18-25",AND(HR_Data[[#This Row],[Age]]&gt;=26,HR_Data[[#This Row],[Age]]&lt;=35),"26-35",AND(HR_Data[[#This Row],[Age]]&gt;=36,HR_Data[[#This Row],[Age]]&lt;=45),"36-45",HR_Data[[#This Row],[Age]]&gt;45,"45+")</f>
        <v>26-35</v>
      </c>
      <c r="AL139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398" spans="1:38"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f>IF(HR_Data[[#This Row],[Attrition]]="Yes",1,0)</f>
        <v>1</v>
      </c>
      <c r="AK1398" t="str">
        <f>_xlfn.IFS(AND(HR_Data[[#This Row],[Age]]&gt;=18,HR_Data[[#This Row],[Age]]&lt;=25),"18-25",AND(HR_Data[[#This Row],[Age]]&gt;=26,HR_Data[[#This Row],[Age]]&lt;=35),"26-35",AND(HR_Data[[#This Row],[Age]]&gt;=36,HR_Data[[#This Row],[Age]]&lt;=45),"36-45",HR_Data[[#This Row],[Age]]&gt;45,"45+")</f>
        <v>45+</v>
      </c>
      <c r="AL139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399" spans="1:38"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f>IF(HR_Data[[#This Row],[Attrition]]="Yes",1,0)</f>
        <v>0</v>
      </c>
      <c r="AK1399" t="str">
        <f>_xlfn.IFS(AND(HR_Data[[#This Row],[Age]]&gt;=18,HR_Data[[#This Row],[Age]]&lt;=25),"18-25",AND(HR_Data[[#This Row],[Age]]&gt;=26,HR_Data[[#This Row],[Age]]&lt;=35),"26-35",AND(HR_Data[[#This Row],[Age]]&gt;=36,HR_Data[[#This Row],[Age]]&lt;=45),"36-45",HR_Data[[#This Row],[Age]]&gt;45,"45+")</f>
        <v>45+</v>
      </c>
      <c r="AL139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00" spans="1:38"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f>IF(HR_Data[[#This Row],[Attrition]]="Yes",1,0)</f>
        <v>0</v>
      </c>
      <c r="AK1400" t="str">
        <f>_xlfn.IFS(AND(HR_Data[[#This Row],[Age]]&gt;=18,HR_Data[[#This Row],[Age]]&lt;=25),"18-25",AND(HR_Data[[#This Row],[Age]]&gt;=26,HR_Data[[#This Row],[Age]]&lt;=35),"26-35",AND(HR_Data[[#This Row],[Age]]&gt;=36,HR_Data[[#This Row],[Age]]&lt;=45),"36-45",HR_Data[[#This Row],[Age]]&gt;45,"45+")</f>
        <v>26-35</v>
      </c>
      <c r="AL140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01" spans="1:38"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f>IF(HR_Data[[#This Row],[Attrition]]="Yes",1,0)</f>
        <v>0</v>
      </c>
      <c r="AK1401" t="str">
        <f>_xlfn.IFS(AND(HR_Data[[#This Row],[Age]]&gt;=18,HR_Data[[#This Row],[Age]]&lt;=25),"18-25",AND(HR_Data[[#This Row],[Age]]&gt;=26,HR_Data[[#This Row],[Age]]&lt;=35),"26-35",AND(HR_Data[[#This Row],[Age]]&gt;=36,HR_Data[[#This Row],[Age]]&lt;=45),"36-45",HR_Data[[#This Row],[Age]]&gt;45,"45+")</f>
        <v>36-45</v>
      </c>
      <c r="AL140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02" spans="1:38"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f>IF(HR_Data[[#This Row],[Attrition]]="Yes",1,0)</f>
        <v>0</v>
      </c>
      <c r="AK1402" t="str">
        <f>_xlfn.IFS(AND(HR_Data[[#This Row],[Age]]&gt;=18,HR_Data[[#This Row],[Age]]&lt;=25),"18-25",AND(HR_Data[[#This Row],[Age]]&gt;=26,HR_Data[[#This Row],[Age]]&lt;=35),"26-35",AND(HR_Data[[#This Row],[Age]]&gt;=36,HR_Data[[#This Row],[Age]]&lt;=45),"36-45",HR_Data[[#This Row],[Age]]&gt;45,"45+")</f>
        <v>36-45</v>
      </c>
      <c r="AL140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03" spans="1:38"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f>IF(HR_Data[[#This Row],[Attrition]]="Yes",1,0)</f>
        <v>0</v>
      </c>
      <c r="AK1403" t="str">
        <f>_xlfn.IFS(AND(HR_Data[[#This Row],[Age]]&gt;=18,HR_Data[[#This Row],[Age]]&lt;=25),"18-25",AND(HR_Data[[#This Row],[Age]]&gt;=26,HR_Data[[#This Row],[Age]]&lt;=35),"26-35",AND(HR_Data[[#This Row],[Age]]&gt;=36,HR_Data[[#This Row],[Age]]&lt;=45),"36-45",HR_Data[[#This Row],[Age]]&gt;45,"45+")</f>
        <v>45+</v>
      </c>
      <c r="AL140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04" spans="1:38"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f>IF(HR_Data[[#This Row],[Attrition]]="Yes",1,0)</f>
        <v>0</v>
      </c>
      <c r="AK1404" t="str">
        <f>_xlfn.IFS(AND(HR_Data[[#This Row],[Age]]&gt;=18,HR_Data[[#This Row],[Age]]&lt;=25),"18-25",AND(HR_Data[[#This Row],[Age]]&gt;=26,HR_Data[[#This Row],[Age]]&lt;=35),"26-35",AND(HR_Data[[#This Row],[Age]]&gt;=36,HR_Data[[#This Row],[Age]]&lt;=45),"36-45",HR_Data[[#This Row],[Age]]&gt;45,"45+")</f>
        <v>26-35</v>
      </c>
      <c r="AL140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05" spans="1:38"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f>IF(HR_Data[[#This Row],[Attrition]]="Yes",1,0)</f>
        <v>0</v>
      </c>
      <c r="AK1405" t="str">
        <f>_xlfn.IFS(AND(HR_Data[[#This Row],[Age]]&gt;=18,HR_Data[[#This Row],[Age]]&lt;=25),"18-25",AND(HR_Data[[#This Row],[Age]]&gt;=26,HR_Data[[#This Row],[Age]]&lt;=35),"26-35",AND(HR_Data[[#This Row],[Age]]&gt;=36,HR_Data[[#This Row],[Age]]&lt;=45),"36-45",HR_Data[[#This Row],[Age]]&gt;45,"45+")</f>
        <v>36-45</v>
      </c>
      <c r="AL140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06" spans="1:38"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f>IF(HR_Data[[#This Row],[Attrition]]="Yes",1,0)</f>
        <v>0</v>
      </c>
      <c r="AK1406" t="str">
        <f>_xlfn.IFS(AND(HR_Data[[#This Row],[Age]]&gt;=18,HR_Data[[#This Row],[Age]]&lt;=25),"18-25",AND(HR_Data[[#This Row],[Age]]&gt;=26,HR_Data[[#This Row],[Age]]&lt;=35),"26-35",AND(HR_Data[[#This Row],[Age]]&gt;=36,HR_Data[[#This Row],[Age]]&lt;=45),"36-45",HR_Data[[#This Row],[Age]]&gt;45,"45+")</f>
        <v>36-45</v>
      </c>
      <c r="AL140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07" spans="1:38"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f>IF(HR_Data[[#This Row],[Attrition]]="Yes",1,0)</f>
        <v>0</v>
      </c>
      <c r="AK1407" t="str">
        <f>_xlfn.IFS(AND(HR_Data[[#This Row],[Age]]&gt;=18,HR_Data[[#This Row],[Age]]&lt;=25),"18-25",AND(HR_Data[[#This Row],[Age]]&gt;=26,HR_Data[[#This Row],[Age]]&lt;=35),"26-35",AND(HR_Data[[#This Row],[Age]]&gt;=36,HR_Data[[#This Row],[Age]]&lt;=45),"36-45",HR_Data[[#This Row],[Age]]&gt;45,"45+")</f>
        <v>26-35</v>
      </c>
      <c r="AL140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08" spans="1:38"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f>IF(HR_Data[[#This Row],[Attrition]]="Yes",1,0)</f>
        <v>0</v>
      </c>
      <c r="AK1408" t="str">
        <f>_xlfn.IFS(AND(HR_Data[[#This Row],[Age]]&gt;=18,HR_Data[[#This Row],[Age]]&lt;=25),"18-25",AND(HR_Data[[#This Row],[Age]]&gt;=26,HR_Data[[#This Row],[Age]]&lt;=35),"26-35",AND(HR_Data[[#This Row],[Age]]&gt;=36,HR_Data[[#This Row],[Age]]&lt;=45),"36-45",HR_Data[[#This Row],[Age]]&gt;45,"45+")</f>
        <v>45+</v>
      </c>
      <c r="AL140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09" spans="1:38"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f>IF(HR_Data[[#This Row],[Attrition]]="Yes",1,0)</f>
        <v>0</v>
      </c>
      <c r="AK1409" t="str">
        <f>_xlfn.IFS(AND(HR_Data[[#This Row],[Age]]&gt;=18,HR_Data[[#This Row],[Age]]&lt;=25),"18-25",AND(HR_Data[[#This Row],[Age]]&gt;=26,HR_Data[[#This Row],[Age]]&lt;=35),"26-35",AND(HR_Data[[#This Row],[Age]]&gt;=36,HR_Data[[#This Row],[Age]]&lt;=45),"36-45",HR_Data[[#This Row],[Age]]&gt;45,"45+")</f>
        <v>18-25</v>
      </c>
      <c r="AL140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10" spans="1:38"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f>IF(HR_Data[[#This Row],[Attrition]]="Yes",1,0)</f>
        <v>0</v>
      </c>
      <c r="AK1410" t="str">
        <f>_xlfn.IFS(AND(HR_Data[[#This Row],[Age]]&gt;=18,HR_Data[[#This Row],[Age]]&lt;=25),"18-25",AND(HR_Data[[#This Row],[Age]]&gt;=26,HR_Data[[#This Row],[Age]]&lt;=35),"26-35",AND(HR_Data[[#This Row],[Age]]&gt;=36,HR_Data[[#This Row],[Age]]&lt;=45),"36-45",HR_Data[[#This Row],[Age]]&gt;45,"45+")</f>
        <v>18-25</v>
      </c>
      <c r="AL141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11" spans="1:38"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f>IF(HR_Data[[#This Row],[Attrition]]="Yes",1,0)</f>
        <v>0</v>
      </c>
      <c r="AK1411" t="str">
        <f>_xlfn.IFS(AND(HR_Data[[#This Row],[Age]]&gt;=18,HR_Data[[#This Row],[Age]]&lt;=25),"18-25",AND(HR_Data[[#This Row],[Age]]&gt;=26,HR_Data[[#This Row],[Age]]&lt;=35),"26-35",AND(HR_Data[[#This Row],[Age]]&gt;=36,HR_Data[[#This Row],[Age]]&lt;=45),"36-45",HR_Data[[#This Row],[Age]]&gt;45,"45+")</f>
        <v>36-45</v>
      </c>
      <c r="AL141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12" spans="1:38"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f>IF(HR_Data[[#This Row],[Attrition]]="Yes",1,0)</f>
        <v>0</v>
      </c>
      <c r="AK1412" t="str">
        <f>_xlfn.IFS(AND(HR_Data[[#This Row],[Age]]&gt;=18,HR_Data[[#This Row],[Age]]&lt;=25),"18-25",AND(HR_Data[[#This Row],[Age]]&gt;=26,HR_Data[[#This Row],[Age]]&lt;=35),"26-35",AND(HR_Data[[#This Row],[Age]]&gt;=36,HR_Data[[#This Row],[Age]]&lt;=45),"36-45",HR_Data[[#This Row],[Age]]&gt;45,"45+")</f>
        <v>36-45</v>
      </c>
      <c r="AL141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13" spans="1:38"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f>IF(HR_Data[[#This Row],[Attrition]]="Yes",1,0)</f>
        <v>0</v>
      </c>
      <c r="AK1413" t="str">
        <f>_xlfn.IFS(AND(HR_Data[[#This Row],[Age]]&gt;=18,HR_Data[[#This Row],[Age]]&lt;=25),"18-25",AND(HR_Data[[#This Row],[Age]]&gt;=26,HR_Data[[#This Row],[Age]]&lt;=35),"26-35",AND(HR_Data[[#This Row],[Age]]&gt;=36,HR_Data[[#This Row],[Age]]&lt;=45),"36-45",HR_Data[[#This Row],[Age]]&gt;45,"45+")</f>
        <v>18-25</v>
      </c>
      <c r="AL141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14" spans="1:38"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f>IF(HR_Data[[#This Row],[Attrition]]="Yes",1,0)</f>
        <v>0</v>
      </c>
      <c r="AK1414" t="str">
        <f>_xlfn.IFS(AND(HR_Data[[#This Row],[Age]]&gt;=18,HR_Data[[#This Row],[Age]]&lt;=25),"18-25",AND(HR_Data[[#This Row],[Age]]&gt;=26,HR_Data[[#This Row],[Age]]&lt;=35),"26-35",AND(HR_Data[[#This Row],[Age]]&gt;=36,HR_Data[[#This Row],[Age]]&lt;=45),"36-45",HR_Data[[#This Row],[Age]]&gt;45,"45+")</f>
        <v>26-35</v>
      </c>
      <c r="AL141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15" spans="1:38"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f>IF(HR_Data[[#This Row],[Attrition]]="Yes",1,0)</f>
        <v>0</v>
      </c>
      <c r="AK1415" t="str">
        <f>_xlfn.IFS(AND(HR_Data[[#This Row],[Age]]&gt;=18,HR_Data[[#This Row],[Age]]&lt;=25),"18-25",AND(HR_Data[[#This Row],[Age]]&gt;=26,HR_Data[[#This Row],[Age]]&lt;=35),"26-35",AND(HR_Data[[#This Row],[Age]]&gt;=36,HR_Data[[#This Row],[Age]]&lt;=45),"36-45",HR_Data[[#This Row],[Age]]&gt;45,"45+")</f>
        <v>18-25</v>
      </c>
      <c r="AL141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16" spans="1:38"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f>IF(HR_Data[[#This Row],[Attrition]]="Yes",1,0)</f>
        <v>0</v>
      </c>
      <c r="AK1416" t="str">
        <f>_xlfn.IFS(AND(HR_Data[[#This Row],[Age]]&gt;=18,HR_Data[[#This Row],[Age]]&lt;=25),"18-25",AND(HR_Data[[#This Row],[Age]]&gt;=26,HR_Data[[#This Row],[Age]]&lt;=35),"26-35",AND(HR_Data[[#This Row],[Age]]&gt;=36,HR_Data[[#This Row],[Age]]&lt;=45),"36-45",HR_Data[[#This Row],[Age]]&gt;45,"45+")</f>
        <v>45+</v>
      </c>
      <c r="AL141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17" spans="1:38"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f>IF(HR_Data[[#This Row],[Attrition]]="Yes",1,0)</f>
        <v>0</v>
      </c>
      <c r="AK1417" t="str">
        <f>_xlfn.IFS(AND(HR_Data[[#This Row],[Age]]&gt;=18,HR_Data[[#This Row],[Age]]&lt;=25),"18-25",AND(HR_Data[[#This Row],[Age]]&gt;=26,HR_Data[[#This Row],[Age]]&lt;=35),"26-35",AND(HR_Data[[#This Row],[Age]]&gt;=36,HR_Data[[#This Row],[Age]]&lt;=45),"36-45",HR_Data[[#This Row],[Age]]&gt;45,"45+")</f>
        <v>26-35</v>
      </c>
      <c r="AL141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18" spans="1:38"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f>IF(HR_Data[[#This Row],[Attrition]]="Yes",1,0)</f>
        <v>0</v>
      </c>
      <c r="AK1418" t="str">
        <f>_xlfn.IFS(AND(HR_Data[[#This Row],[Age]]&gt;=18,HR_Data[[#This Row],[Age]]&lt;=25),"18-25",AND(HR_Data[[#This Row],[Age]]&gt;=26,HR_Data[[#This Row],[Age]]&lt;=35),"26-35",AND(HR_Data[[#This Row],[Age]]&gt;=36,HR_Data[[#This Row],[Age]]&lt;=45),"36-45",HR_Data[[#This Row],[Age]]&gt;45,"45+")</f>
        <v>36-45</v>
      </c>
      <c r="AL141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19" spans="1:38"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f>IF(HR_Data[[#This Row],[Attrition]]="Yes",1,0)</f>
        <v>0</v>
      </c>
      <c r="AK1419" t="str">
        <f>_xlfn.IFS(AND(HR_Data[[#This Row],[Age]]&gt;=18,HR_Data[[#This Row],[Age]]&lt;=25),"18-25",AND(HR_Data[[#This Row],[Age]]&gt;=26,HR_Data[[#This Row],[Age]]&lt;=35),"26-35",AND(HR_Data[[#This Row],[Age]]&gt;=36,HR_Data[[#This Row],[Age]]&lt;=45),"36-45",HR_Data[[#This Row],[Age]]&gt;45,"45+")</f>
        <v>26-35</v>
      </c>
      <c r="AL141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20" spans="1:38"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f>IF(HR_Data[[#This Row],[Attrition]]="Yes",1,0)</f>
        <v>0</v>
      </c>
      <c r="AK1420" t="str">
        <f>_xlfn.IFS(AND(HR_Data[[#This Row],[Age]]&gt;=18,HR_Data[[#This Row],[Age]]&lt;=25),"18-25",AND(HR_Data[[#This Row],[Age]]&gt;=26,HR_Data[[#This Row],[Age]]&lt;=35),"26-35",AND(HR_Data[[#This Row],[Age]]&gt;=36,HR_Data[[#This Row],[Age]]&lt;=45),"36-45",HR_Data[[#This Row],[Age]]&gt;45,"45+")</f>
        <v>36-45</v>
      </c>
      <c r="AL142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21" spans="1:38"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f>IF(HR_Data[[#This Row],[Attrition]]="Yes",1,0)</f>
        <v>0</v>
      </c>
      <c r="AK1421" t="str">
        <f>_xlfn.IFS(AND(HR_Data[[#This Row],[Age]]&gt;=18,HR_Data[[#This Row],[Age]]&lt;=25),"18-25",AND(HR_Data[[#This Row],[Age]]&gt;=26,HR_Data[[#This Row],[Age]]&lt;=35),"26-35",AND(HR_Data[[#This Row],[Age]]&gt;=36,HR_Data[[#This Row],[Age]]&lt;=45),"36-45",HR_Data[[#This Row],[Age]]&gt;45,"45+")</f>
        <v>36-45</v>
      </c>
      <c r="AL142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22" spans="1:38"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f>IF(HR_Data[[#This Row],[Attrition]]="Yes",1,0)</f>
        <v>0</v>
      </c>
      <c r="AK1422" t="str">
        <f>_xlfn.IFS(AND(HR_Data[[#This Row],[Age]]&gt;=18,HR_Data[[#This Row],[Age]]&lt;=25),"18-25",AND(HR_Data[[#This Row],[Age]]&gt;=26,HR_Data[[#This Row],[Age]]&lt;=35),"26-35",AND(HR_Data[[#This Row],[Age]]&gt;=36,HR_Data[[#This Row],[Age]]&lt;=45),"36-45",HR_Data[[#This Row],[Age]]&gt;45,"45+")</f>
        <v>36-45</v>
      </c>
      <c r="AL142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23" spans="1:38"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f>IF(HR_Data[[#This Row],[Attrition]]="Yes",1,0)</f>
        <v>0</v>
      </c>
      <c r="AK1423" t="str">
        <f>_xlfn.IFS(AND(HR_Data[[#This Row],[Age]]&gt;=18,HR_Data[[#This Row],[Age]]&lt;=25),"18-25",AND(HR_Data[[#This Row],[Age]]&gt;=26,HR_Data[[#This Row],[Age]]&lt;=35),"26-35",AND(HR_Data[[#This Row],[Age]]&gt;=36,HR_Data[[#This Row],[Age]]&lt;=45),"36-45",HR_Data[[#This Row],[Age]]&gt;45,"45+")</f>
        <v>45+</v>
      </c>
      <c r="AL142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24" spans="1:38"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f>IF(HR_Data[[#This Row],[Attrition]]="Yes",1,0)</f>
        <v>0</v>
      </c>
      <c r="AK1424" t="str">
        <f>_xlfn.IFS(AND(HR_Data[[#This Row],[Age]]&gt;=18,HR_Data[[#This Row],[Age]]&lt;=25),"18-25",AND(HR_Data[[#This Row],[Age]]&gt;=26,HR_Data[[#This Row],[Age]]&lt;=35),"26-35",AND(HR_Data[[#This Row],[Age]]&gt;=36,HR_Data[[#This Row],[Age]]&lt;=45),"36-45",HR_Data[[#This Row],[Age]]&gt;45,"45+")</f>
        <v>26-35</v>
      </c>
      <c r="AL142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25" spans="1:38"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f>IF(HR_Data[[#This Row],[Attrition]]="Yes",1,0)</f>
        <v>0</v>
      </c>
      <c r="AK1425" t="str">
        <f>_xlfn.IFS(AND(HR_Data[[#This Row],[Age]]&gt;=18,HR_Data[[#This Row],[Age]]&lt;=25),"18-25",AND(HR_Data[[#This Row],[Age]]&gt;=26,HR_Data[[#This Row],[Age]]&lt;=35),"26-35",AND(HR_Data[[#This Row],[Age]]&gt;=36,HR_Data[[#This Row],[Age]]&lt;=45),"36-45",HR_Data[[#This Row],[Age]]&gt;45,"45+")</f>
        <v>18-25</v>
      </c>
      <c r="AL142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26" spans="1:38"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f>IF(HR_Data[[#This Row],[Attrition]]="Yes",1,0)</f>
        <v>0</v>
      </c>
      <c r="AK1426" t="str">
        <f>_xlfn.IFS(AND(HR_Data[[#This Row],[Age]]&gt;=18,HR_Data[[#This Row],[Age]]&lt;=25),"18-25",AND(HR_Data[[#This Row],[Age]]&gt;=26,HR_Data[[#This Row],[Age]]&lt;=35),"26-35",AND(HR_Data[[#This Row],[Age]]&gt;=36,HR_Data[[#This Row],[Age]]&lt;=45),"36-45",HR_Data[[#This Row],[Age]]&gt;45,"45+")</f>
        <v>26-35</v>
      </c>
      <c r="AL142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27" spans="1:38"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f>IF(HR_Data[[#This Row],[Attrition]]="Yes",1,0)</f>
        <v>0</v>
      </c>
      <c r="AK1427" t="str">
        <f>_xlfn.IFS(AND(HR_Data[[#This Row],[Age]]&gt;=18,HR_Data[[#This Row],[Age]]&lt;=25),"18-25",AND(HR_Data[[#This Row],[Age]]&gt;=26,HR_Data[[#This Row],[Age]]&lt;=35),"26-35",AND(HR_Data[[#This Row],[Age]]&gt;=36,HR_Data[[#This Row],[Age]]&lt;=45),"36-45",HR_Data[[#This Row],[Age]]&gt;45,"45+")</f>
        <v>26-35</v>
      </c>
      <c r="AL142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28" spans="1:38"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f>IF(HR_Data[[#This Row],[Attrition]]="Yes",1,0)</f>
        <v>0</v>
      </c>
      <c r="AK1428" t="str">
        <f>_xlfn.IFS(AND(HR_Data[[#This Row],[Age]]&gt;=18,HR_Data[[#This Row],[Age]]&lt;=25),"18-25",AND(HR_Data[[#This Row],[Age]]&gt;=26,HR_Data[[#This Row],[Age]]&lt;=35),"26-35",AND(HR_Data[[#This Row],[Age]]&gt;=36,HR_Data[[#This Row],[Age]]&lt;=45),"36-45",HR_Data[[#This Row],[Age]]&gt;45,"45+")</f>
        <v>26-35</v>
      </c>
      <c r="AL142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29" spans="1:38"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f>IF(HR_Data[[#This Row],[Attrition]]="Yes",1,0)</f>
        <v>0</v>
      </c>
      <c r="AK1429" t="str">
        <f>_xlfn.IFS(AND(HR_Data[[#This Row],[Age]]&gt;=18,HR_Data[[#This Row],[Age]]&lt;=25),"18-25",AND(HR_Data[[#This Row],[Age]]&gt;=26,HR_Data[[#This Row],[Age]]&lt;=35),"26-35",AND(HR_Data[[#This Row],[Age]]&gt;=36,HR_Data[[#This Row],[Age]]&lt;=45),"36-45",HR_Data[[#This Row],[Age]]&gt;45,"45+")</f>
        <v>36-45</v>
      </c>
      <c r="AL142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30" spans="1:38"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f>IF(HR_Data[[#This Row],[Attrition]]="Yes",1,0)</f>
        <v>0</v>
      </c>
      <c r="AK1430" t="str">
        <f>_xlfn.IFS(AND(HR_Data[[#This Row],[Age]]&gt;=18,HR_Data[[#This Row],[Age]]&lt;=25),"18-25",AND(HR_Data[[#This Row],[Age]]&gt;=26,HR_Data[[#This Row],[Age]]&lt;=35),"26-35",AND(HR_Data[[#This Row],[Age]]&gt;=36,HR_Data[[#This Row],[Age]]&lt;=45),"36-45",HR_Data[[#This Row],[Age]]&gt;45,"45+")</f>
        <v>26-35</v>
      </c>
      <c r="AL143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31" spans="1:38"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f>IF(HR_Data[[#This Row],[Attrition]]="Yes",1,0)</f>
        <v>0</v>
      </c>
      <c r="AK1431" t="str">
        <f>_xlfn.IFS(AND(HR_Data[[#This Row],[Age]]&gt;=18,HR_Data[[#This Row],[Age]]&lt;=25),"18-25",AND(HR_Data[[#This Row],[Age]]&gt;=26,HR_Data[[#This Row],[Age]]&lt;=35),"26-35",AND(HR_Data[[#This Row],[Age]]&gt;=36,HR_Data[[#This Row],[Age]]&lt;=45),"36-45",HR_Data[[#This Row],[Age]]&gt;45,"45+")</f>
        <v>36-45</v>
      </c>
      <c r="AL143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32" spans="1:38"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f>IF(HR_Data[[#This Row],[Attrition]]="Yes",1,0)</f>
        <v>0</v>
      </c>
      <c r="AK1432" t="str">
        <f>_xlfn.IFS(AND(HR_Data[[#This Row],[Age]]&gt;=18,HR_Data[[#This Row],[Age]]&lt;=25),"18-25",AND(HR_Data[[#This Row],[Age]]&gt;=26,HR_Data[[#This Row],[Age]]&lt;=35),"26-35",AND(HR_Data[[#This Row],[Age]]&gt;=36,HR_Data[[#This Row],[Age]]&lt;=45),"36-45",HR_Data[[#This Row],[Age]]&gt;45,"45+")</f>
        <v>36-45</v>
      </c>
      <c r="AL143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33" spans="1:38"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f>IF(HR_Data[[#This Row],[Attrition]]="Yes",1,0)</f>
        <v>0</v>
      </c>
      <c r="AK1433" t="str">
        <f>_xlfn.IFS(AND(HR_Data[[#This Row],[Age]]&gt;=18,HR_Data[[#This Row],[Age]]&lt;=25),"18-25",AND(HR_Data[[#This Row],[Age]]&gt;=26,HR_Data[[#This Row],[Age]]&lt;=35),"26-35",AND(HR_Data[[#This Row],[Age]]&gt;=36,HR_Data[[#This Row],[Age]]&lt;=45),"36-45",HR_Data[[#This Row],[Age]]&gt;45,"45+")</f>
        <v>26-35</v>
      </c>
      <c r="AL143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34" spans="1:38"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f>IF(HR_Data[[#This Row],[Attrition]]="Yes",1,0)</f>
        <v>0</v>
      </c>
      <c r="AK1434" t="str">
        <f>_xlfn.IFS(AND(HR_Data[[#This Row],[Age]]&gt;=18,HR_Data[[#This Row],[Age]]&lt;=25),"18-25",AND(HR_Data[[#This Row],[Age]]&gt;=26,HR_Data[[#This Row],[Age]]&lt;=35),"26-35",AND(HR_Data[[#This Row],[Age]]&gt;=36,HR_Data[[#This Row],[Age]]&lt;=45),"36-45",HR_Data[[#This Row],[Age]]&gt;45,"45+")</f>
        <v>36-45</v>
      </c>
      <c r="AL143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35" spans="1:38"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f>IF(HR_Data[[#This Row],[Attrition]]="Yes",1,0)</f>
        <v>0</v>
      </c>
      <c r="AK1435" t="str">
        <f>_xlfn.IFS(AND(HR_Data[[#This Row],[Age]]&gt;=18,HR_Data[[#This Row],[Age]]&lt;=25),"18-25",AND(HR_Data[[#This Row],[Age]]&gt;=26,HR_Data[[#This Row],[Age]]&lt;=35),"26-35",AND(HR_Data[[#This Row],[Age]]&gt;=36,HR_Data[[#This Row],[Age]]&lt;=45),"36-45",HR_Data[[#This Row],[Age]]&gt;45,"45+")</f>
        <v>18-25</v>
      </c>
      <c r="AL143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36" spans="1:38"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f>IF(HR_Data[[#This Row],[Attrition]]="Yes",1,0)</f>
        <v>0</v>
      </c>
      <c r="AK1436" t="str">
        <f>_xlfn.IFS(AND(HR_Data[[#This Row],[Age]]&gt;=18,HR_Data[[#This Row],[Age]]&lt;=25),"18-25",AND(HR_Data[[#This Row],[Age]]&gt;=26,HR_Data[[#This Row],[Age]]&lt;=35),"26-35",AND(HR_Data[[#This Row],[Age]]&gt;=36,HR_Data[[#This Row],[Age]]&lt;=45),"36-45",HR_Data[[#This Row],[Age]]&gt;45,"45+")</f>
        <v>45+</v>
      </c>
      <c r="AL143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37" spans="1:38"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f>IF(HR_Data[[#This Row],[Attrition]]="Yes",1,0)</f>
        <v>0</v>
      </c>
      <c r="AK1437" t="str">
        <f>_xlfn.IFS(AND(HR_Data[[#This Row],[Age]]&gt;=18,HR_Data[[#This Row],[Age]]&lt;=25),"18-25",AND(HR_Data[[#This Row],[Age]]&gt;=26,HR_Data[[#This Row],[Age]]&lt;=35),"26-35",AND(HR_Data[[#This Row],[Age]]&gt;=36,HR_Data[[#This Row],[Age]]&lt;=45),"36-45",HR_Data[[#This Row],[Age]]&gt;45,"45+")</f>
        <v>36-45</v>
      </c>
      <c r="AL143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38" spans="1:38"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f>IF(HR_Data[[#This Row],[Attrition]]="Yes",1,0)</f>
        <v>0</v>
      </c>
      <c r="AK1438" t="str">
        <f>_xlfn.IFS(AND(HR_Data[[#This Row],[Age]]&gt;=18,HR_Data[[#This Row],[Age]]&lt;=25),"18-25",AND(HR_Data[[#This Row],[Age]]&gt;=26,HR_Data[[#This Row],[Age]]&lt;=35),"26-35",AND(HR_Data[[#This Row],[Age]]&gt;=36,HR_Data[[#This Row],[Age]]&lt;=45),"36-45",HR_Data[[#This Row],[Age]]&gt;45,"45+")</f>
        <v>18-25</v>
      </c>
      <c r="AL143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39" spans="1:38"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f>IF(HR_Data[[#This Row],[Attrition]]="Yes",1,0)</f>
        <v>0</v>
      </c>
      <c r="AK1439" t="str">
        <f>_xlfn.IFS(AND(HR_Data[[#This Row],[Age]]&gt;=18,HR_Data[[#This Row],[Age]]&lt;=25),"18-25",AND(HR_Data[[#This Row],[Age]]&gt;=26,HR_Data[[#This Row],[Age]]&lt;=35),"26-35",AND(HR_Data[[#This Row],[Age]]&gt;=36,HR_Data[[#This Row],[Age]]&lt;=45),"36-45",HR_Data[[#This Row],[Age]]&gt;45,"45+")</f>
        <v>36-45</v>
      </c>
      <c r="AL143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40" spans="1:38"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f>IF(HR_Data[[#This Row],[Attrition]]="Yes",1,0)</f>
        <v>1</v>
      </c>
      <c r="AK1440" t="str">
        <f>_xlfn.IFS(AND(HR_Data[[#This Row],[Age]]&gt;=18,HR_Data[[#This Row],[Age]]&lt;=25),"18-25",AND(HR_Data[[#This Row],[Age]]&gt;=26,HR_Data[[#This Row],[Age]]&lt;=35),"26-35",AND(HR_Data[[#This Row],[Age]]&gt;=36,HR_Data[[#This Row],[Age]]&lt;=45),"36-45",HR_Data[[#This Row],[Age]]&gt;45,"45+")</f>
        <v>18-25</v>
      </c>
      <c r="AL144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41" spans="1:38"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f>IF(HR_Data[[#This Row],[Attrition]]="Yes",1,0)</f>
        <v>0</v>
      </c>
      <c r="AK1441" t="str">
        <f>_xlfn.IFS(AND(HR_Data[[#This Row],[Age]]&gt;=18,HR_Data[[#This Row],[Age]]&lt;=25),"18-25",AND(HR_Data[[#This Row],[Age]]&gt;=26,HR_Data[[#This Row],[Age]]&lt;=35),"26-35",AND(HR_Data[[#This Row],[Age]]&gt;=36,HR_Data[[#This Row],[Age]]&lt;=45),"36-45",HR_Data[[#This Row],[Age]]&gt;45,"45+")</f>
        <v>36-45</v>
      </c>
      <c r="AL144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42" spans="1:38"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f>IF(HR_Data[[#This Row],[Attrition]]="Yes",1,0)</f>
        <v>0</v>
      </c>
      <c r="AK1442" t="str">
        <f>_xlfn.IFS(AND(HR_Data[[#This Row],[Age]]&gt;=18,HR_Data[[#This Row],[Age]]&lt;=25),"18-25",AND(HR_Data[[#This Row],[Age]]&gt;=26,HR_Data[[#This Row],[Age]]&lt;=35),"26-35",AND(HR_Data[[#This Row],[Age]]&gt;=36,HR_Data[[#This Row],[Age]]&lt;=45),"36-45",HR_Data[[#This Row],[Age]]&gt;45,"45+")</f>
        <v>36-45</v>
      </c>
      <c r="AL144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43" spans="1:38"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f>IF(HR_Data[[#This Row],[Attrition]]="Yes",1,0)</f>
        <v>0</v>
      </c>
      <c r="AK1443" t="str">
        <f>_xlfn.IFS(AND(HR_Data[[#This Row],[Age]]&gt;=18,HR_Data[[#This Row],[Age]]&lt;=25),"18-25",AND(HR_Data[[#This Row],[Age]]&gt;=26,HR_Data[[#This Row],[Age]]&lt;=35),"26-35",AND(HR_Data[[#This Row],[Age]]&gt;=36,HR_Data[[#This Row],[Age]]&lt;=45),"36-45",HR_Data[[#This Row],[Age]]&gt;45,"45+")</f>
        <v>45+</v>
      </c>
      <c r="AL144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44" spans="1:38"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f>IF(HR_Data[[#This Row],[Attrition]]="Yes",1,0)</f>
        <v>1</v>
      </c>
      <c r="AK1444" t="str">
        <f>_xlfn.IFS(AND(HR_Data[[#This Row],[Age]]&gt;=18,HR_Data[[#This Row],[Age]]&lt;=25),"18-25",AND(HR_Data[[#This Row],[Age]]&gt;=26,HR_Data[[#This Row],[Age]]&lt;=35),"26-35",AND(HR_Data[[#This Row],[Age]]&gt;=36,HR_Data[[#This Row],[Age]]&lt;=45),"36-45",HR_Data[[#This Row],[Age]]&gt;45,"45+")</f>
        <v>26-35</v>
      </c>
      <c r="AL144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45" spans="1:38"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f>IF(HR_Data[[#This Row],[Attrition]]="Yes",1,0)</f>
        <v>0</v>
      </c>
      <c r="AK1445" t="str">
        <f>_xlfn.IFS(AND(HR_Data[[#This Row],[Age]]&gt;=18,HR_Data[[#This Row],[Age]]&lt;=25),"18-25",AND(HR_Data[[#This Row],[Age]]&gt;=26,HR_Data[[#This Row],[Age]]&lt;=35),"26-35",AND(HR_Data[[#This Row],[Age]]&gt;=36,HR_Data[[#This Row],[Age]]&lt;=45),"36-45",HR_Data[[#This Row],[Age]]&gt;45,"45+")</f>
        <v>36-45</v>
      </c>
      <c r="AL144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46" spans="1:38"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f>IF(HR_Data[[#This Row],[Attrition]]="Yes",1,0)</f>
        <v>1</v>
      </c>
      <c r="AK1446" t="str">
        <f>_xlfn.IFS(AND(HR_Data[[#This Row],[Age]]&gt;=18,HR_Data[[#This Row],[Age]]&lt;=25),"18-25",AND(HR_Data[[#This Row],[Age]]&gt;=26,HR_Data[[#This Row],[Age]]&lt;=35),"26-35",AND(HR_Data[[#This Row],[Age]]&gt;=36,HR_Data[[#This Row],[Age]]&lt;=45),"36-45",HR_Data[[#This Row],[Age]]&gt;45,"45+")</f>
        <v>45+</v>
      </c>
      <c r="AL144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47" spans="1:38"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f>IF(HR_Data[[#This Row],[Attrition]]="Yes",1,0)</f>
        <v>0</v>
      </c>
      <c r="AK1447" t="str">
        <f>_xlfn.IFS(AND(HR_Data[[#This Row],[Age]]&gt;=18,HR_Data[[#This Row],[Age]]&lt;=25),"18-25",AND(HR_Data[[#This Row],[Age]]&gt;=26,HR_Data[[#This Row],[Age]]&lt;=35),"26-35",AND(HR_Data[[#This Row],[Age]]&gt;=36,HR_Data[[#This Row],[Age]]&lt;=45),"36-45",HR_Data[[#This Row],[Age]]&gt;45,"45+")</f>
        <v>36-45</v>
      </c>
      <c r="AL144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48" spans="1:38"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f>IF(HR_Data[[#This Row],[Attrition]]="Yes",1,0)</f>
        <v>0</v>
      </c>
      <c r="AK1448" t="str">
        <f>_xlfn.IFS(AND(HR_Data[[#This Row],[Age]]&gt;=18,HR_Data[[#This Row],[Age]]&lt;=25),"18-25",AND(HR_Data[[#This Row],[Age]]&gt;=26,HR_Data[[#This Row],[Age]]&lt;=35),"26-35",AND(HR_Data[[#This Row],[Age]]&gt;=36,HR_Data[[#This Row],[Age]]&lt;=45),"36-45",HR_Data[[#This Row],[Age]]&gt;45,"45+")</f>
        <v>26-35</v>
      </c>
      <c r="AL144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49" spans="1:38"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f>IF(HR_Data[[#This Row],[Attrition]]="Yes",1,0)</f>
        <v>0</v>
      </c>
      <c r="AK1449" t="str">
        <f>_xlfn.IFS(AND(HR_Data[[#This Row],[Age]]&gt;=18,HR_Data[[#This Row],[Age]]&lt;=25),"18-25",AND(HR_Data[[#This Row],[Age]]&gt;=26,HR_Data[[#This Row],[Age]]&lt;=35),"26-35",AND(HR_Data[[#This Row],[Age]]&gt;=36,HR_Data[[#This Row],[Age]]&lt;=45),"36-45",HR_Data[[#This Row],[Age]]&gt;45,"45+")</f>
        <v>36-45</v>
      </c>
      <c r="AL144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50" spans="1:38"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f>IF(HR_Data[[#This Row],[Attrition]]="Yes",1,0)</f>
        <v>0</v>
      </c>
      <c r="AK1450" t="str">
        <f>_xlfn.IFS(AND(HR_Data[[#This Row],[Age]]&gt;=18,HR_Data[[#This Row],[Age]]&lt;=25),"18-25",AND(HR_Data[[#This Row],[Age]]&gt;=26,HR_Data[[#This Row],[Age]]&lt;=35),"26-35",AND(HR_Data[[#This Row],[Age]]&gt;=36,HR_Data[[#This Row],[Age]]&lt;=45),"36-45",HR_Data[[#This Row],[Age]]&gt;45,"45+")</f>
        <v>36-45</v>
      </c>
      <c r="AL145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51" spans="1:38"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f>IF(HR_Data[[#This Row],[Attrition]]="Yes",1,0)</f>
        <v>0</v>
      </c>
      <c r="AK1451" t="str">
        <f>_xlfn.IFS(AND(HR_Data[[#This Row],[Age]]&gt;=18,HR_Data[[#This Row],[Age]]&lt;=25),"18-25",AND(HR_Data[[#This Row],[Age]]&gt;=26,HR_Data[[#This Row],[Age]]&lt;=35),"26-35",AND(HR_Data[[#This Row],[Age]]&gt;=36,HR_Data[[#This Row],[Age]]&lt;=45),"36-45",HR_Data[[#This Row],[Age]]&gt;45,"45+")</f>
        <v>26-35</v>
      </c>
      <c r="AL145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52" spans="1:38"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f>IF(HR_Data[[#This Row],[Attrition]]="Yes",1,0)</f>
        <v>0</v>
      </c>
      <c r="AK1452" t="str">
        <f>_xlfn.IFS(AND(HR_Data[[#This Row],[Age]]&gt;=18,HR_Data[[#This Row],[Age]]&lt;=25),"18-25",AND(HR_Data[[#This Row],[Age]]&gt;=26,HR_Data[[#This Row],[Age]]&lt;=35),"26-35",AND(HR_Data[[#This Row],[Age]]&gt;=36,HR_Data[[#This Row],[Age]]&lt;=45),"36-45",HR_Data[[#This Row],[Age]]&gt;45,"45+")</f>
        <v>26-35</v>
      </c>
      <c r="AL145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53" spans="1:38"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f>IF(HR_Data[[#This Row],[Attrition]]="Yes",1,0)</f>
        <v>0</v>
      </c>
      <c r="AK1453" t="str">
        <f>_xlfn.IFS(AND(HR_Data[[#This Row],[Age]]&gt;=18,HR_Data[[#This Row],[Age]]&lt;=25),"18-25",AND(HR_Data[[#This Row],[Age]]&gt;=26,HR_Data[[#This Row],[Age]]&lt;=35),"26-35",AND(HR_Data[[#This Row],[Age]]&gt;=36,HR_Data[[#This Row],[Age]]&lt;=45),"36-45",HR_Data[[#This Row],[Age]]&gt;45,"45+")</f>
        <v>36-45</v>
      </c>
      <c r="AL145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54" spans="1:38"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f>IF(HR_Data[[#This Row],[Attrition]]="Yes",1,0)</f>
        <v>1</v>
      </c>
      <c r="AK1454" t="str">
        <f>_xlfn.IFS(AND(HR_Data[[#This Row],[Age]]&gt;=18,HR_Data[[#This Row],[Age]]&lt;=25),"18-25",AND(HR_Data[[#This Row],[Age]]&gt;=26,HR_Data[[#This Row],[Age]]&lt;=35),"26-35",AND(HR_Data[[#This Row],[Age]]&gt;=36,HR_Data[[#This Row],[Age]]&lt;=45),"36-45",HR_Data[[#This Row],[Age]]&gt;45,"45+")</f>
        <v>45+</v>
      </c>
      <c r="AL145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55" spans="1:38"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f>IF(HR_Data[[#This Row],[Attrition]]="Yes",1,0)</f>
        <v>0</v>
      </c>
      <c r="AK1455" t="str">
        <f>_xlfn.IFS(AND(HR_Data[[#This Row],[Age]]&gt;=18,HR_Data[[#This Row],[Age]]&lt;=25),"18-25",AND(HR_Data[[#This Row],[Age]]&gt;=26,HR_Data[[#This Row],[Age]]&lt;=35),"26-35",AND(HR_Data[[#This Row],[Age]]&gt;=36,HR_Data[[#This Row],[Age]]&lt;=45),"36-45",HR_Data[[#This Row],[Age]]&gt;45,"45+")</f>
        <v>36-45</v>
      </c>
      <c r="AL145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56" spans="1:38"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f>IF(HR_Data[[#This Row],[Attrition]]="Yes",1,0)</f>
        <v>0</v>
      </c>
      <c r="AK1456" t="str">
        <f>_xlfn.IFS(AND(HR_Data[[#This Row],[Age]]&gt;=18,HR_Data[[#This Row],[Age]]&lt;=25),"18-25",AND(HR_Data[[#This Row],[Age]]&gt;=26,HR_Data[[#This Row],[Age]]&lt;=35),"26-35",AND(HR_Data[[#This Row],[Age]]&gt;=36,HR_Data[[#This Row],[Age]]&lt;=45),"36-45",HR_Data[[#This Row],[Age]]&gt;45,"45+")</f>
        <v>36-45</v>
      </c>
      <c r="AL145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57" spans="1:38"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f>IF(HR_Data[[#This Row],[Attrition]]="Yes",1,0)</f>
        <v>0</v>
      </c>
      <c r="AK1457" t="str">
        <f>_xlfn.IFS(AND(HR_Data[[#This Row],[Age]]&gt;=18,HR_Data[[#This Row],[Age]]&lt;=25),"18-25",AND(HR_Data[[#This Row],[Age]]&gt;=26,HR_Data[[#This Row],[Age]]&lt;=35),"26-35",AND(HR_Data[[#This Row],[Age]]&gt;=36,HR_Data[[#This Row],[Age]]&lt;=45),"36-45",HR_Data[[#This Row],[Age]]&gt;45,"45+")</f>
        <v>36-45</v>
      </c>
      <c r="AL145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New Employees</v>
      </c>
    </row>
    <row r="1458" spans="1:38"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f>IF(HR_Data[[#This Row],[Attrition]]="Yes",1,0)</f>
        <v>0</v>
      </c>
      <c r="AK1458" t="str">
        <f>_xlfn.IFS(AND(HR_Data[[#This Row],[Age]]&gt;=18,HR_Data[[#This Row],[Age]]&lt;=25),"18-25",AND(HR_Data[[#This Row],[Age]]&gt;=26,HR_Data[[#This Row],[Age]]&lt;=35),"26-35",AND(HR_Data[[#This Row],[Age]]&gt;=36,HR_Data[[#This Row],[Age]]&lt;=45),"36-45",HR_Data[[#This Row],[Age]]&gt;45,"45+")</f>
        <v>26-35</v>
      </c>
      <c r="AL145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59" spans="1:38"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f>IF(HR_Data[[#This Row],[Attrition]]="Yes",1,0)</f>
        <v>0</v>
      </c>
      <c r="AK1459" t="str">
        <f>_xlfn.IFS(AND(HR_Data[[#This Row],[Age]]&gt;=18,HR_Data[[#This Row],[Age]]&lt;=25),"18-25",AND(HR_Data[[#This Row],[Age]]&gt;=26,HR_Data[[#This Row],[Age]]&lt;=35),"26-35",AND(HR_Data[[#This Row],[Age]]&gt;=36,HR_Data[[#This Row],[Age]]&lt;=45),"36-45",HR_Data[[#This Row],[Age]]&gt;45,"45+")</f>
        <v>36-45</v>
      </c>
      <c r="AL145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60" spans="1:38"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f>IF(HR_Data[[#This Row],[Attrition]]="Yes",1,0)</f>
        <v>0</v>
      </c>
      <c r="AK1460" t="str">
        <f>_xlfn.IFS(AND(HR_Data[[#This Row],[Age]]&gt;=18,HR_Data[[#This Row],[Age]]&lt;=25),"18-25",AND(HR_Data[[#This Row],[Age]]&gt;=26,HR_Data[[#This Row],[Age]]&lt;=35),"26-35",AND(HR_Data[[#This Row],[Age]]&gt;=36,HR_Data[[#This Row],[Age]]&lt;=45),"36-45",HR_Data[[#This Row],[Age]]&gt;45,"45+")</f>
        <v>26-35</v>
      </c>
      <c r="AL146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61" spans="1:38"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f>IF(HR_Data[[#This Row],[Attrition]]="Yes",1,0)</f>
        <v>0</v>
      </c>
      <c r="AK1461" t="str">
        <f>_xlfn.IFS(AND(HR_Data[[#This Row],[Age]]&gt;=18,HR_Data[[#This Row],[Age]]&lt;=25),"18-25",AND(HR_Data[[#This Row],[Age]]&gt;=26,HR_Data[[#This Row],[Age]]&lt;=35),"26-35",AND(HR_Data[[#This Row],[Age]]&gt;=36,HR_Data[[#This Row],[Age]]&lt;=45),"36-45",HR_Data[[#This Row],[Age]]&gt;45,"45+")</f>
        <v>26-35</v>
      </c>
      <c r="AL146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62" spans="1:38"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f>IF(HR_Data[[#This Row],[Attrition]]="Yes",1,0)</f>
        <v>0</v>
      </c>
      <c r="AK1462" t="str">
        <f>_xlfn.IFS(AND(HR_Data[[#This Row],[Age]]&gt;=18,HR_Data[[#This Row],[Age]]&lt;=25),"18-25",AND(HR_Data[[#This Row],[Age]]&gt;=26,HR_Data[[#This Row],[Age]]&lt;=35),"26-35",AND(HR_Data[[#This Row],[Age]]&gt;=36,HR_Data[[#This Row],[Age]]&lt;=45),"36-45",HR_Data[[#This Row],[Age]]&gt;45,"45+")</f>
        <v>26-35</v>
      </c>
      <c r="AL1462"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63" spans="1:38"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f>IF(HR_Data[[#This Row],[Attrition]]="Yes",1,0)</f>
        <v>1</v>
      </c>
      <c r="AK1463" t="str">
        <f>_xlfn.IFS(AND(HR_Data[[#This Row],[Age]]&gt;=18,HR_Data[[#This Row],[Age]]&lt;=25),"18-25",AND(HR_Data[[#This Row],[Age]]&gt;=26,HR_Data[[#This Row],[Age]]&lt;=35),"26-35",AND(HR_Data[[#This Row],[Age]]&gt;=36,HR_Data[[#This Row],[Age]]&lt;=45),"36-45",HR_Data[[#This Row],[Age]]&gt;45,"45+")</f>
        <v>45+</v>
      </c>
      <c r="AL1463"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64" spans="1:38"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f>IF(HR_Data[[#This Row],[Attrition]]="Yes",1,0)</f>
        <v>0</v>
      </c>
      <c r="AK1464" t="str">
        <f>_xlfn.IFS(AND(HR_Data[[#This Row],[Age]]&gt;=18,HR_Data[[#This Row],[Age]]&lt;=25),"18-25",AND(HR_Data[[#This Row],[Age]]&gt;=26,HR_Data[[#This Row],[Age]]&lt;=35),"26-35",AND(HR_Data[[#This Row],[Age]]&gt;=36,HR_Data[[#This Row],[Age]]&lt;=45),"36-45",HR_Data[[#This Row],[Age]]&gt;45,"45+")</f>
        <v>36-45</v>
      </c>
      <c r="AL1464"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Long Term Employees</v>
      </c>
    </row>
    <row r="1465" spans="1:38"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f>IF(HR_Data[[#This Row],[Attrition]]="Yes",1,0)</f>
        <v>0</v>
      </c>
      <c r="AK1465" t="str">
        <f>_xlfn.IFS(AND(HR_Data[[#This Row],[Age]]&gt;=18,HR_Data[[#This Row],[Age]]&lt;=25),"18-25",AND(HR_Data[[#This Row],[Age]]&gt;=26,HR_Data[[#This Row],[Age]]&lt;=35),"26-35",AND(HR_Data[[#This Row],[Age]]&gt;=36,HR_Data[[#This Row],[Age]]&lt;=45),"36-45",HR_Data[[#This Row],[Age]]&gt;45,"45+")</f>
        <v>26-35</v>
      </c>
      <c r="AL1465"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66" spans="1:38"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f>IF(HR_Data[[#This Row],[Attrition]]="Yes",1,0)</f>
        <v>0</v>
      </c>
      <c r="AK1466" t="str">
        <f>_xlfn.IFS(AND(HR_Data[[#This Row],[Age]]&gt;=18,HR_Data[[#This Row],[Age]]&lt;=25),"18-25",AND(HR_Data[[#This Row],[Age]]&gt;=26,HR_Data[[#This Row],[Age]]&lt;=35),"26-35",AND(HR_Data[[#This Row],[Age]]&gt;=36,HR_Data[[#This Row],[Age]]&lt;=45),"36-45",HR_Data[[#This Row],[Age]]&gt;45,"45+")</f>
        <v>26-35</v>
      </c>
      <c r="AL1466"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67" spans="1:38"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f>IF(HR_Data[[#This Row],[Attrition]]="Yes",1,0)</f>
        <v>0</v>
      </c>
      <c r="AK1467" t="str">
        <f>_xlfn.IFS(AND(HR_Data[[#This Row],[Age]]&gt;=18,HR_Data[[#This Row],[Age]]&lt;=25),"18-25",AND(HR_Data[[#This Row],[Age]]&gt;=26,HR_Data[[#This Row],[Age]]&lt;=35),"26-35",AND(HR_Data[[#This Row],[Age]]&gt;=36,HR_Data[[#This Row],[Age]]&lt;=45),"36-45",HR_Data[[#This Row],[Age]]&gt;45,"45+")</f>
        <v>36-45</v>
      </c>
      <c r="AL1467"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row r="1468" spans="1:38"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f>IF(HR_Data[[#This Row],[Attrition]]="Yes",1,0)</f>
        <v>0</v>
      </c>
      <c r="AK1468" t="str">
        <f>_xlfn.IFS(AND(HR_Data[[#This Row],[Age]]&gt;=18,HR_Data[[#This Row],[Age]]&lt;=25),"18-25",AND(HR_Data[[#This Row],[Age]]&gt;=26,HR_Data[[#This Row],[Age]]&lt;=35),"26-35",AND(HR_Data[[#This Row],[Age]]&gt;=36,HR_Data[[#This Row],[Age]]&lt;=45),"36-45",HR_Data[[#This Row],[Age]]&gt;45,"45+")</f>
        <v>36-45</v>
      </c>
      <c r="AL1468"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69" spans="1:38"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f>IF(HR_Data[[#This Row],[Attrition]]="Yes",1,0)</f>
        <v>0</v>
      </c>
      <c r="AK1469" t="str">
        <f>_xlfn.IFS(AND(HR_Data[[#This Row],[Age]]&gt;=18,HR_Data[[#This Row],[Age]]&lt;=25),"18-25",AND(HR_Data[[#This Row],[Age]]&gt;=26,HR_Data[[#This Row],[Age]]&lt;=35),"26-35",AND(HR_Data[[#This Row],[Age]]&gt;=36,HR_Data[[#This Row],[Age]]&lt;=45),"36-45",HR_Data[[#This Row],[Age]]&gt;45,"45+")</f>
        <v>26-35</v>
      </c>
      <c r="AL1469"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70" spans="1:38"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f>IF(HR_Data[[#This Row],[Attrition]]="Yes",1,0)</f>
        <v>0</v>
      </c>
      <c r="AK1470" t="str">
        <f>_xlfn.IFS(AND(HR_Data[[#This Row],[Age]]&gt;=18,HR_Data[[#This Row],[Age]]&lt;=25),"18-25",AND(HR_Data[[#This Row],[Age]]&gt;=26,HR_Data[[#This Row],[Age]]&lt;=35),"26-35",AND(HR_Data[[#This Row],[Age]]&gt;=36,HR_Data[[#This Row],[Age]]&lt;=45),"36-45",HR_Data[[#This Row],[Age]]&gt;45,"45+")</f>
        <v>45+</v>
      </c>
      <c r="AL1470"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Mid Tenure</v>
      </c>
    </row>
    <row r="1471" spans="1:38"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f>IF(HR_Data[[#This Row],[Attrition]]="Yes",1,0)</f>
        <v>0</v>
      </c>
      <c r="AK1471" t="str">
        <f>_xlfn.IFS(AND(HR_Data[[#This Row],[Age]]&gt;=18,HR_Data[[#This Row],[Age]]&lt;=25),"18-25",AND(HR_Data[[#This Row],[Age]]&gt;=26,HR_Data[[#This Row],[Age]]&lt;=35),"26-35",AND(HR_Data[[#This Row],[Age]]&gt;=36,HR_Data[[#This Row],[Age]]&lt;=45),"36-45",HR_Data[[#This Row],[Age]]&gt;45,"45+")</f>
        <v>26-35</v>
      </c>
      <c r="AL1471" t="str">
        <f>_xlfn.IFS(AND(HR_Data[[#This Row],[YearsAtCompany]]&gt;=0,HR_Data[[#This Row],[YearsAtCompany]]&lt;=2),"New Employees",AND(HR_Data[[#This Row],[YearsAtCompany]]&gt;=3,HR_Data[[#This Row],[YearsAtCompany]]&lt;=5),"Early Stage",AND(HR_Data[[#This Row],[YearsAtCompany]]&gt;=6,HR_Data[[#This Row],[YearsAtCompany]]&lt;=10),"Mid Tenure",HR_Data[[#This Row],[YearsAtCompany]]&gt;10,"Long Term Employees")</f>
        <v>Early Stage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05DF-6331-4899-8942-93AFC936E551}">
  <dimension ref="B2:F26"/>
  <sheetViews>
    <sheetView zoomScaleNormal="100" workbookViewId="0">
      <selection activeCell="I5" sqref="I5"/>
    </sheetView>
  </sheetViews>
  <sheetFormatPr defaultRowHeight="14.4" x14ac:dyDescent="0.3"/>
  <cols>
    <col min="1" max="1" width="13.6640625" customWidth="1"/>
    <col min="2" max="2" width="12.5546875" bestFit="1" customWidth="1"/>
    <col min="3" max="3" width="20" bestFit="1" customWidth="1"/>
    <col min="4" max="4" width="15.6640625" customWidth="1"/>
    <col min="5" max="5" width="19" bestFit="1" customWidth="1"/>
    <col min="6" max="6" width="20.6640625" customWidth="1"/>
    <col min="7" max="7" width="9.5546875" customWidth="1"/>
    <col min="8" max="8" width="11.44140625" bestFit="1" customWidth="1"/>
    <col min="9" max="9" width="15.88671875" customWidth="1"/>
    <col min="10" max="10" width="19.77734375" customWidth="1"/>
  </cols>
  <sheetData>
    <row r="2" spans="2:6" x14ac:dyDescent="0.3">
      <c r="D2" s="3" t="s">
        <v>83</v>
      </c>
      <c r="E2" s="3"/>
    </row>
    <row r="3" spans="2:6" x14ac:dyDescent="0.3">
      <c r="D3" s="3"/>
      <c r="E3" s="3"/>
    </row>
    <row r="5" spans="2:6" x14ac:dyDescent="0.3">
      <c r="B5" s="1" t="s">
        <v>65</v>
      </c>
      <c r="C5" t="s">
        <v>71</v>
      </c>
      <c r="E5" s="1" t="s">
        <v>65</v>
      </c>
      <c r="F5" t="s">
        <v>72</v>
      </c>
    </row>
    <row r="6" spans="2:6" x14ac:dyDescent="0.3">
      <c r="B6" s="2" t="s">
        <v>61</v>
      </c>
      <c r="C6">
        <v>12</v>
      </c>
      <c r="E6" s="2" t="s">
        <v>67</v>
      </c>
      <c r="F6">
        <v>44</v>
      </c>
    </row>
    <row r="7" spans="2:6" x14ac:dyDescent="0.3">
      <c r="B7" s="2" t="s">
        <v>45</v>
      </c>
      <c r="C7">
        <v>133</v>
      </c>
      <c r="E7" s="2" t="s">
        <v>68</v>
      </c>
      <c r="F7">
        <v>116</v>
      </c>
    </row>
    <row r="8" spans="2:6" x14ac:dyDescent="0.3">
      <c r="B8" s="2" t="s">
        <v>37</v>
      </c>
      <c r="C8">
        <v>92</v>
      </c>
      <c r="E8" s="2" t="s">
        <v>69</v>
      </c>
      <c r="F8">
        <v>43</v>
      </c>
    </row>
    <row r="9" spans="2:6" x14ac:dyDescent="0.3">
      <c r="B9" s="2" t="s">
        <v>66</v>
      </c>
      <c r="C9">
        <v>237</v>
      </c>
      <c r="E9" s="2" t="s">
        <v>70</v>
      </c>
      <c r="F9">
        <v>34</v>
      </c>
    </row>
    <row r="10" spans="2:6" x14ac:dyDescent="0.3">
      <c r="E10" s="2" t="s">
        <v>66</v>
      </c>
      <c r="F10">
        <v>237</v>
      </c>
    </row>
    <row r="13" spans="2:6" x14ac:dyDescent="0.3">
      <c r="B13" s="1" t="s">
        <v>65</v>
      </c>
      <c r="C13" t="s">
        <v>73</v>
      </c>
      <c r="E13" s="1" t="s">
        <v>65</v>
      </c>
      <c r="F13" t="s">
        <v>74</v>
      </c>
    </row>
    <row r="14" spans="2:6" x14ac:dyDescent="0.3">
      <c r="B14" s="2">
        <v>1</v>
      </c>
      <c r="C14">
        <v>66</v>
      </c>
      <c r="E14" s="2" t="s">
        <v>39</v>
      </c>
      <c r="F14">
        <v>87</v>
      </c>
    </row>
    <row r="15" spans="2:6" x14ac:dyDescent="0.3">
      <c r="B15" s="2">
        <v>2</v>
      </c>
      <c r="C15">
        <v>46</v>
      </c>
      <c r="E15" s="2" t="s">
        <v>46</v>
      </c>
      <c r="F15">
        <v>150</v>
      </c>
    </row>
    <row r="16" spans="2:6" x14ac:dyDescent="0.3">
      <c r="B16" s="2">
        <v>3</v>
      </c>
      <c r="C16">
        <v>73</v>
      </c>
      <c r="E16" s="2" t="s">
        <v>66</v>
      </c>
      <c r="F16">
        <v>237</v>
      </c>
    </row>
    <row r="17" spans="2:6" x14ac:dyDescent="0.3">
      <c r="B17" s="2">
        <v>4</v>
      </c>
      <c r="C17">
        <v>52</v>
      </c>
    </row>
    <row r="18" spans="2:6" x14ac:dyDescent="0.3">
      <c r="B18" s="2" t="s">
        <v>66</v>
      </c>
      <c r="C18">
        <v>237</v>
      </c>
    </row>
    <row r="21" spans="2:6" x14ac:dyDescent="0.3">
      <c r="B21" s="1" t="s">
        <v>65</v>
      </c>
      <c r="C21" t="s">
        <v>75</v>
      </c>
      <c r="E21" s="1" t="s">
        <v>65</v>
      </c>
      <c r="F21" t="s">
        <v>81</v>
      </c>
    </row>
    <row r="22" spans="2:6" x14ac:dyDescent="0.3">
      <c r="B22" s="2">
        <v>0</v>
      </c>
      <c r="C22">
        <v>6832.7396593673966</v>
      </c>
      <c r="E22" s="2" t="s">
        <v>76</v>
      </c>
      <c r="F22">
        <v>60</v>
      </c>
    </row>
    <row r="23" spans="2:6" x14ac:dyDescent="0.3">
      <c r="B23" s="2">
        <v>1</v>
      </c>
      <c r="C23">
        <v>4787.0928270042195</v>
      </c>
      <c r="E23" s="2" t="s">
        <v>77</v>
      </c>
      <c r="F23">
        <v>20</v>
      </c>
    </row>
    <row r="24" spans="2:6" x14ac:dyDescent="0.3">
      <c r="B24" s="2" t="s">
        <v>66</v>
      </c>
      <c r="C24">
        <v>6502.931292517007</v>
      </c>
      <c r="E24" s="2" t="s">
        <v>78</v>
      </c>
      <c r="F24">
        <v>55</v>
      </c>
    </row>
    <row r="25" spans="2:6" x14ac:dyDescent="0.3">
      <c r="E25" s="2" t="s">
        <v>79</v>
      </c>
      <c r="F25">
        <v>102</v>
      </c>
    </row>
    <row r="26" spans="2:6" x14ac:dyDescent="0.3">
      <c r="E26" s="2" t="s">
        <v>66</v>
      </c>
      <c r="F26">
        <v>237</v>
      </c>
    </row>
  </sheetData>
  <mergeCells count="1">
    <mergeCell ref="D2:E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45D9-71F9-4B1C-8B10-A3FEB731337B}">
  <dimension ref="B1:AF44"/>
  <sheetViews>
    <sheetView tabSelected="1" zoomScale="55" zoomScaleNormal="55" workbookViewId="0">
      <selection activeCell="U46" sqref="U46"/>
    </sheetView>
  </sheetViews>
  <sheetFormatPr defaultRowHeight="14.4" x14ac:dyDescent="0.3"/>
  <sheetData>
    <row r="1" spans="2:32" ht="14.4" customHeight="1" x14ac:dyDescent="0.3">
      <c r="B1" s="4" t="s">
        <v>80</v>
      </c>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2:32" ht="14.4" customHeight="1" x14ac:dyDescent="0.3">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2:32" ht="14.4" customHeight="1" x14ac:dyDescent="0.3">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2:32" ht="14.4" customHeight="1" x14ac:dyDescent="0.3">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2:32" ht="14.4" customHeight="1" x14ac:dyDescent="0.3">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2:32" x14ac:dyDescent="0.3">
      <c r="B6" s="5"/>
      <c r="AF6" s="5"/>
    </row>
    <row r="7" spans="2:32" x14ac:dyDescent="0.3">
      <c r="B7" s="5"/>
      <c r="AF7" s="5"/>
    </row>
    <row r="8" spans="2:32" x14ac:dyDescent="0.3">
      <c r="B8" s="5"/>
      <c r="AF8" s="5"/>
    </row>
    <row r="9" spans="2:32" x14ac:dyDescent="0.3">
      <c r="B9" s="5"/>
      <c r="AF9" s="5"/>
    </row>
    <row r="10" spans="2:32" x14ac:dyDescent="0.3">
      <c r="B10" s="5"/>
      <c r="AF10" s="5"/>
    </row>
    <row r="11" spans="2:32" x14ac:dyDescent="0.3">
      <c r="B11" s="5"/>
      <c r="AF11" s="5"/>
    </row>
    <row r="12" spans="2:32" x14ac:dyDescent="0.3">
      <c r="B12" s="5"/>
      <c r="AF12" s="5"/>
    </row>
    <row r="13" spans="2:32" x14ac:dyDescent="0.3">
      <c r="B13" s="5"/>
      <c r="AF13" s="5"/>
    </row>
    <row r="14" spans="2:32" x14ac:dyDescent="0.3">
      <c r="B14" s="5"/>
      <c r="AF14" s="5"/>
    </row>
    <row r="15" spans="2:32" x14ac:dyDescent="0.3">
      <c r="B15" s="5"/>
      <c r="AF15" s="5"/>
    </row>
    <row r="16" spans="2:32" x14ac:dyDescent="0.3">
      <c r="B16" s="5"/>
      <c r="AF16" s="5"/>
    </row>
    <row r="17" spans="2:32" x14ac:dyDescent="0.3">
      <c r="B17" s="5"/>
      <c r="AF17" s="5"/>
    </row>
    <row r="18" spans="2:32" x14ac:dyDescent="0.3">
      <c r="B18" s="5"/>
      <c r="AF18" s="5"/>
    </row>
    <row r="19" spans="2:32" x14ac:dyDescent="0.3">
      <c r="B19" s="5"/>
      <c r="AF19" s="5"/>
    </row>
    <row r="20" spans="2:32" x14ac:dyDescent="0.3">
      <c r="B20" s="5"/>
      <c r="AF20" s="5"/>
    </row>
    <row r="21" spans="2:32" x14ac:dyDescent="0.3">
      <c r="B21" s="5"/>
      <c r="AF21" s="5"/>
    </row>
    <row r="22" spans="2:32" x14ac:dyDescent="0.3">
      <c r="B22" s="5"/>
      <c r="AF22" s="5"/>
    </row>
    <row r="23" spans="2:32" x14ac:dyDescent="0.3">
      <c r="B23" s="5"/>
      <c r="AF23" s="5"/>
    </row>
    <row r="24" spans="2:32" x14ac:dyDescent="0.3">
      <c r="B24" s="5"/>
      <c r="AF24" s="5"/>
    </row>
    <row r="25" spans="2:32" x14ac:dyDescent="0.3">
      <c r="B25" s="5"/>
      <c r="AF25" s="5"/>
    </row>
    <row r="26" spans="2:32" x14ac:dyDescent="0.3">
      <c r="B26" s="5"/>
      <c r="AF26" s="5"/>
    </row>
    <row r="27" spans="2:32" x14ac:dyDescent="0.3">
      <c r="B27" s="5"/>
      <c r="AF27" s="5"/>
    </row>
    <row r="28" spans="2:32" x14ac:dyDescent="0.3">
      <c r="B28" s="5"/>
      <c r="AF28" s="5"/>
    </row>
    <row r="29" spans="2:32" x14ac:dyDescent="0.3">
      <c r="B29" s="5"/>
      <c r="AF29" s="5"/>
    </row>
    <row r="30" spans="2:32" x14ac:dyDescent="0.3">
      <c r="B30" s="5"/>
      <c r="AF30" s="5"/>
    </row>
    <row r="31" spans="2:32" x14ac:dyDescent="0.3">
      <c r="B31" s="5"/>
      <c r="AF31" s="5"/>
    </row>
    <row r="32" spans="2:32" x14ac:dyDescent="0.3">
      <c r="B32" s="5"/>
      <c r="AF32" s="5"/>
    </row>
    <row r="33" spans="2:32" x14ac:dyDescent="0.3">
      <c r="B33" s="5"/>
      <c r="AF33" s="5"/>
    </row>
    <row r="34" spans="2:32" x14ac:dyDescent="0.3">
      <c r="B34" s="5"/>
      <c r="AF34" s="5"/>
    </row>
    <row r="35" spans="2:32" x14ac:dyDescent="0.3">
      <c r="B35" s="5"/>
      <c r="AF35" s="5"/>
    </row>
    <row r="36" spans="2:32" x14ac:dyDescent="0.3">
      <c r="B36" s="5"/>
      <c r="AF36" s="5"/>
    </row>
    <row r="37" spans="2:32" x14ac:dyDescent="0.3">
      <c r="B37" s="5"/>
      <c r="AF37" s="5"/>
    </row>
    <row r="38" spans="2:32" x14ac:dyDescent="0.3">
      <c r="B38" s="5"/>
      <c r="AF38" s="5"/>
    </row>
    <row r="39" spans="2:32" x14ac:dyDescent="0.3">
      <c r="B39" s="5"/>
      <c r="AF39" s="5"/>
    </row>
    <row r="40" spans="2:32" x14ac:dyDescent="0.3">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2:32" x14ac:dyDescent="0.3">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2:32" x14ac:dyDescent="0.3">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2:32" ht="14.4" customHeight="1" x14ac:dyDescent="0.3">
      <c r="Z43" s="6" t="s">
        <v>82</v>
      </c>
      <c r="AA43" s="6"/>
      <c r="AB43" s="6"/>
      <c r="AC43" s="6"/>
      <c r="AD43" s="6"/>
      <c r="AE43" s="6"/>
      <c r="AF43" s="6"/>
    </row>
    <row r="44" spans="2:32" x14ac:dyDescent="0.3">
      <c r="Z44" s="6"/>
      <c r="AA44" s="6"/>
      <c r="AB44" s="6"/>
      <c r="AC44" s="6"/>
      <c r="AD44" s="6"/>
      <c r="AE44" s="6"/>
      <c r="AF44" s="6"/>
    </row>
  </sheetData>
  <mergeCells count="5">
    <mergeCell ref="B1:AF5"/>
    <mergeCell ref="B6:B42"/>
    <mergeCell ref="C40:AF42"/>
    <mergeCell ref="AF6:AF39"/>
    <mergeCell ref="Z43:AF4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WA_Fn-UseC_-HR-Employee-Attriti</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dc:creator>
  <cp:lastModifiedBy>MOHIT KUMAR</cp:lastModifiedBy>
  <dcterms:created xsi:type="dcterms:W3CDTF">2026-03-01T10:08:31Z</dcterms:created>
  <dcterms:modified xsi:type="dcterms:W3CDTF">2026-03-01T12:25:19Z</dcterms:modified>
</cp:coreProperties>
</file>